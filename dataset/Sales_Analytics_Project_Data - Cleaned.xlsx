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l Courses\PYTHON CODE\Datanalytics\Project\"/>
    </mc:Choice>
  </mc:AlternateContent>
  <xr:revisionPtr revIDLastSave="0" documentId="13_ncr:1_{9BB64AEA-BCC7-4FD4-8AF3-3E2752028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</sheets>
  <definedNames>
    <definedName name="_xlnm._FilterDatabase" localSheetId="0" hidden="1">Sales_Data!$A$1:$H$301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</calcChain>
</file>

<file path=xl/sharedStrings.xml><?xml version="1.0" encoding="utf-8"?>
<sst xmlns="http://schemas.openxmlformats.org/spreadsheetml/2006/main" count="1212" uniqueCount="230">
  <si>
    <t>OrderID</t>
  </si>
  <si>
    <t>Date</t>
  </si>
  <si>
    <t>Region</t>
  </si>
  <si>
    <t>Category</t>
  </si>
  <si>
    <t>Product</t>
  </si>
  <si>
    <t>Sales</t>
  </si>
  <si>
    <t>Quantity</t>
  </si>
  <si>
    <t>Profit</t>
  </si>
  <si>
    <t>2024-09-16</t>
  </si>
  <si>
    <t>East</t>
  </si>
  <si>
    <t>Furniture</t>
  </si>
  <si>
    <t>Chair</t>
  </si>
  <si>
    <t>2024-01-08</t>
  </si>
  <si>
    <t>Table</t>
  </si>
  <si>
    <t>2024-01-27</t>
  </si>
  <si>
    <t>Electronics</t>
  </si>
  <si>
    <t>Laptop</t>
  </si>
  <si>
    <t>2024-08-09</t>
  </si>
  <si>
    <t>Tablet</t>
  </si>
  <si>
    <t>2024-02-21</t>
  </si>
  <si>
    <t>North</t>
  </si>
  <si>
    <t>Mobile</t>
  </si>
  <si>
    <t>2024-10-04</t>
  </si>
  <si>
    <t>West</t>
  </si>
  <si>
    <t>2024-06-18</t>
  </si>
  <si>
    <t>2024-08-03</t>
  </si>
  <si>
    <t>2024-11-07</t>
  </si>
  <si>
    <t>South</t>
  </si>
  <si>
    <t>2024-08-05</t>
  </si>
  <si>
    <t>Office Supplies</t>
  </si>
  <si>
    <t>Printer</t>
  </si>
  <si>
    <t>2024-11-02</t>
  </si>
  <si>
    <t>2024-03-09</t>
  </si>
  <si>
    <t>2024-02-13</t>
  </si>
  <si>
    <t>Sofa</t>
  </si>
  <si>
    <t>2024-10-19</t>
  </si>
  <si>
    <t>2024-11-20</t>
  </si>
  <si>
    <t>2024-07-18</t>
  </si>
  <si>
    <t>2024-04-08</t>
  </si>
  <si>
    <t>2024-06-04</t>
  </si>
  <si>
    <t>2024-06-08</t>
  </si>
  <si>
    <t>Notebook</t>
  </si>
  <si>
    <t>2024-11-06</t>
  </si>
  <si>
    <t>2024-04-14</t>
  </si>
  <si>
    <t>2024-05-18</t>
  </si>
  <si>
    <t>2024-12-28</t>
  </si>
  <si>
    <t>2024-01-14</t>
  </si>
  <si>
    <t>2024-01-23</t>
  </si>
  <si>
    <t>2024-01-01</t>
  </si>
  <si>
    <t>Pen</t>
  </si>
  <si>
    <t>2024-10-13</t>
  </si>
  <si>
    <t>2024-01-31</t>
  </si>
  <si>
    <t>2024-07-08</t>
  </si>
  <si>
    <t>2024-06-24</t>
  </si>
  <si>
    <t>2024-03-02</t>
  </si>
  <si>
    <t>2024-07-19</t>
  </si>
  <si>
    <t>2024-04-24</t>
  </si>
  <si>
    <t>2024-01-02</t>
  </si>
  <si>
    <t>2024-10-20</t>
  </si>
  <si>
    <t>2024-04-09</t>
  </si>
  <si>
    <t>2024-07-06</t>
  </si>
  <si>
    <t>2024-02-24</t>
  </si>
  <si>
    <t>2024-06-05</t>
  </si>
  <si>
    <t>2024-12-18</t>
  </si>
  <si>
    <t>2024-07-07</t>
  </si>
  <si>
    <t>2024-06-14</t>
  </si>
  <si>
    <t>2024-05-07</t>
  </si>
  <si>
    <t>2024-08-02</t>
  </si>
  <si>
    <t>2024-03-26</t>
  </si>
  <si>
    <t>2024-10-27</t>
  </si>
  <si>
    <t>2024-10-03</t>
  </si>
  <si>
    <t>2024-11-25</t>
  </si>
  <si>
    <t>2024-10-29</t>
  </si>
  <si>
    <t>2024-06-11</t>
  </si>
  <si>
    <t>2024-03-13</t>
  </si>
  <si>
    <t>2024-10-25</t>
  </si>
  <si>
    <t>2024-07-22</t>
  </si>
  <si>
    <t>2024-02-08</t>
  </si>
  <si>
    <t>2024-03-19</t>
  </si>
  <si>
    <t>2024-08-26</t>
  </si>
  <si>
    <t>2024-09-26</t>
  </si>
  <si>
    <t>2024-01-24</t>
  </si>
  <si>
    <t>2024-06-02</t>
  </si>
  <si>
    <t>2024-06-01</t>
  </si>
  <si>
    <t>2024-07-24</t>
  </si>
  <si>
    <t>2024-09-07</t>
  </si>
  <si>
    <t>2024-04-02</t>
  </si>
  <si>
    <t>2024-05-29</t>
  </si>
  <si>
    <t>2024-07-02</t>
  </si>
  <si>
    <t>2024-09-27</t>
  </si>
  <si>
    <t>2024-02-20</t>
  </si>
  <si>
    <t>2024-02-26</t>
  </si>
  <si>
    <t>2024-04-23</t>
  </si>
  <si>
    <t>2024-06-29</t>
  </si>
  <si>
    <t>2024-06-30</t>
  </si>
  <si>
    <t>2024-01-25</t>
  </si>
  <si>
    <t>2024-08-27</t>
  </si>
  <si>
    <t>2024-11-15</t>
  </si>
  <si>
    <t>2024-12-19</t>
  </si>
  <si>
    <t>2024-07-17</t>
  </si>
  <si>
    <t>2024-08-10</t>
  </si>
  <si>
    <t>2024-08-01</t>
  </si>
  <si>
    <t>2024-09-11</t>
  </si>
  <si>
    <t>2024-01-06</t>
  </si>
  <si>
    <t>2024-08-31</t>
  </si>
  <si>
    <t>2024-11-23</t>
  </si>
  <si>
    <t>2024-11-22</t>
  </si>
  <si>
    <t>2024-04-11</t>
  </si>
  <si>
    <t>2024-04-04</t>
  </si>
  <si>
    <t>2024-05-11</t>
  </si>
  <si>
    <t>2024-01-17</t>
  </si>
  <si>
    <t>2024-12-23</t>
  </si>
  <si>
    <t>2024-03-29</t>
  </si>
  <si>
    <t>2024-11-24</t>
  </si>
  <si>
    <t>2024-11-05</t>
  </si>
  <si>
    <t>2024-08-07</t>
  </si>
  <si>
    <t>2024-07-10</t>
  </si>
  <si>
    <t>2024-05-25</t>
  </si>
  <si>
    <t>2024-08-11</t>
  </si>
  <si>
    <t>2024-01-26</t>
  </si>
  <si>
    <t>2024-12-20</t>
  </si>
  <si>
    <t>2024-12-13</t>
  </si>
  <si>
    <t>2024-08-28</t>
  </si>
  <si>
    <t>2024-06-07</t>
  </si>
  <si>
    <t>2024-04-17</t>
  </si>
  <si>
    <t>2024-09-19</t>
  </si>
  <si>
    <t>2024-07-04</t>
  </si>
  <si>
    <t>2024-09-17</t>
  </si>
  <si>
    <t>2024-05-28</t>
  </si>
  <si>
    <t>2024-04-28</t>
  </si>
  <si>
    <t>2024-06-26</t>
  </si>
  <si>
    <t>2024-01-16</t>
  </si>
  <si>
    <t>2024-04-22</t>
  </si>
  <si>
    <t>2024-10-15</t>
  </si>
  <si>
    <t>2024-04-18</t>
  </si>
  <si>
    <t>2024-12-21</t>
  </si>
  <si>
    <t>2024-09-24</t>
  </si>
  <si>
    <t>2024-07-29</t>
  </si>
  <si>
    <t>2024-11-17</t>
  </si>
  <si>
    <t>2024-05-30</t>
  </si>
  <si>
    <t>2024-11-10</t>
  </si>
  <si>
    <t>2024-10-07</t>
  </si>
  <si>
    <t>2024-11-30</t>
  </si>
  <si>
    <t>2024-08-16</t>
  </si>
  <si>
    <t>2024-08-18</t>
  </si>
  <si>
    <t>2024-05-26</t>
  </si>
  <si>
    <t>2024-07-27</t>
  </si>
  <si>
    <t>2024-02-15</t>
  </si>
  <si>
    <t>2024-11-09</t>
  </si>
  <si>
    <t>2024-12-16</t>
  </si>
  <si>
    <t>2024-10-23</t>
  </si>
  <si>
    <t>2024-10-09</t>
  </si>
  <si>
    <t>2024-09-01</t>
  </si>
  <si>
    <t>2024-02-04</t>
  </si>
  <si>
    <t>2024-02-05</t>
  </si>
  <si>
    <t>2024-01-04</t>
  </si>
  <si>
    <t>2024-03-10</t>
  </si>
  <si>
    <t>2024-06-13</t>
  </si>
  <si>
    <t>2024-06-16</t>
  </si>
  <si>
    <t>2024-10-10</t>
  </si>
  <si>
    <t>2024-11-11</t>
  </si>
  <si>
    <t>2024-01-10</t>
  </si>
  <si>
    <t>2024-09-30</t>
  </si>
  <si>
    <t>2024-03-17</t>
  </si>
  <si>
    <t>2024-01-15</t>
  </si>
  <si>
    <t>2024-12-08</t>
  </si>
  <si>
    <t>2024-05-23</t>
  </si>
  <si>
    <t>2024-02-19</t>
  </si>
  <si>
    <t>2024-03-20</t>
  </si>
  <si>
    <t>2024-03-28</t>
  </si>
  <si>
    <t>2024-02-03</t>
  </si>
  <si>
    <t>2024-09-21</t>
  </si>
  <si>
    <t>2024-06-15</t>
  </si>
  <si>
    <t>2024-04-12</t>
  </si>
  <si>
    <t>2024-05-24</t>
  </si>
  <si>
    <t>2024-09-12</t>
  </si>
  <si>
    <t>2024-08-12</t>
  </si>
  <si>
    <t>2024-02-28</t>
  </si>
  <si>
    <t>2024-03-21</t>
  </si>
  <si>
    <t>2024-01-30</t>
  </si>
  <si>
    <t>2024-06-23</t>
  </si>
  <si>
    <t>2024-01-19</t>
  </si>
  <si>
    <t>2024-08-08</t>
  </si>
  <si>
    <t>2024-11-28</t>
  </si>
  <si>
    <t>2024-01-12</t>
  </si>
  <si>
    <t>2024-05-02</t>
  </si>
  <si>
    <t>2024-05-06</t>
  </si>
  <si>
    <t>2024-09-29</t>
  </si>
  <si>
    <t>2024-12-12</t>
  </si>
  <si>
    <t>2024-09-13</t>
  </si>
  <si>
    <t>2024-08-15</t>
  </si>
  <si>
    <t>2024-08-29</t>
  </si>
  <si>
    <t>2024-05-05</t>
  </si>
  <si>
    <t>2024-01-29</t>
  </si>
  <si>
    <t>2024-05-04</t>
  </si>
  <si>
    <t>2024-11-18</t>
  </si>
  <si>
    <t>2024-04-21</t>
  </si>
  <si>
    <t>2024-12-01</t>
  </si>
  <si>
    <t>2024-03-11</t>
  </si>
  <si>
    <t>2024-08-04</t>
  </si>
  <si>
    <t>2024-03-14</t>
  </si>
  <si>
    <t>2024-07-26</t>
  </si>
  <si>
    <t>2024-07-14</t>
  </si>
  <si>
    <t>2024-03-31</t>
  </si>
  <si>
    <t>2024-10-01</t>
  </si>
  <si>
    <t>2024-05-08</t>
  </si>
  <si>
    <t>2024-07-13</t>
  </si>
  <si>
    <t>2024-01-11</t>
  </si>
  <si>
    <t>2024-12-05</t>
  </si>
  <si>
    <t>2024-03-04</t>
  </si>
  <si>
    <t>2024-11-08</t>
  </si>
  <si>
    <t>2024-10-26</t>
  </si>
  <si>
    <t>2024-09-15</t>
  </si>
  <si>
    <t>2024-02-01</t>
  </si>
  <si>
    <t>2024-12-29</t>
  </si>
  <si>
    <t>2024-07-15</t>
  </si>
  <si>
    <t>2024-09-02</t>
  </si>
  <si>
    <t>2024-08-24</t>
  </si>
  <si>
    <t>2024-02-09</t>
  </si>
  <si>
    <t>2024-03-12</t>
  </si>
  <si>
    <t>2024-12-14</t>
  </si>
  <si>
    <t>2024-07-30</t>
  </si>
  <si>
    <t>2024-05-21</t>
  </si>
  <si>
    <t>2024-10-16</t>
  </si>
  <si>
    <t>2024-05-27</t>
  </si>
  <si>
    <t>2024-02-07</t>
  </si>
  <si>
    <t>Year</t>
  </si>
  <si>
    <t>Month</t>
  </si>
  <si>
    <t>Profit Margin
Profit/Sales</t>
  </si>
  <si>
    <t>Profit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</si>
</sst>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0EB84B-FEAC-4AD4-9E47-091675AA0EC0}" name="Sales_Data" displayName="Sales_Data" ref="A1:L301" totalsRowShown="0" headerRowDxfId="13" dataDxfId="4">
  <autoFilter ref="A1:L301" xr:uid="{3F0EB84B-FEAC-4AD4-9E47-091675AA0EC0}"/>
  <tableColumns count="12">
    <tableColumn id="1" xr3:uid="{886B7EFE-2944-4968-9CB0-6E6C8BAA7965}" name="OrderID" dataDxfId="12"/>
    <tableColumn id="2" xr3:uid="{4EBB5171-954B-4E62-B62A-C483B1BC3B1F}" name="Date" dataDxfId="11"/>
    <tableColumn id="3" xr3:uid="{55F7BCE6-00A3-46C4-9F4C-6C7AAEE88F2F}" name="Region" dataDxfId="10"/>
    <tableColumn id="4" xr3:uid="{1F819E16-1745-4BEE-A475-560F20B33575}" name="Category" dataDxfId="9"/>
    <tableColumn id="5" xr3:uid="{8DDEB32D-C650-44BC-9BE7-B0EFDDA033A9}" name="Product" dataDxfId="8"/>
    <tableColumn id="6" xr3:uid="{3EB5B924-ED13-4CEC-A481-17E2ACA20367}" name="Sales" dataDxfId="7"/>
    <tableColumn id="7" xr3:uid="{3210DADD-B74A-49D6-BC5A-20231ECF5AF2}" name="Quantity" dataDxfId="6"/>
    <tableColumn id="8" xr3:uid="{F97DAC9A-2B43-44CB-84A7-02A1A60B2024}" name="Profit" dataDxfId="5"/>
    <tableColumn id="9" xr3:uid="{77279CA8-045B-4963-8B39-0148D085A6D7}" name="Year" dataDxfId="3">
      <calculatedColumnFormula>YEAR(Sales_Data[[#This Row],[Date]])</calculatedColumnFormula>
    </tableColumn>
    <tableColumn id="10" xr3:uid="{51FB88CC-081E-4F71-B852-B3E62C67F87C}" name="Month" dataDxfId="2">
      <calculatedColumnFormula>TEXT(Sales_Data[[#This Row],[Date]],"mmmm")</calculatedColumnFormula>
    </tableColumn>
    <tableColumn id="11" xr3:uid="{29F5CA16-BE52-46D9-93C6-BCEBE9A57949}" name="Profit Margin_x000a_Profit/Sales" dataDxfId="1">
      <calculatedColumnFormula>Sales_Data[[#This Row],[Profit]]/Sales_Data[[#This Row],[Sales]]</calculatedColumnFormula>
    </tableColumn>
    <tableColumn id="12" xr3:uid="{8702503A-3BFE-4C47-93DE-902D3B7F5892}" name="Profit Status" dataDxfId="0">
      <calculatedColumnFormula>IF(Sales_Data[[#This Row],[Profit Margin
Profit/Sales]]&gt;0,"Profit","Loss")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C1" zoomScale="122" workbookViewId="0">
      <selection activeCell="K12" sqref="K12"/>
    </sheetView>
  </sheetViews>
  <sheetFormatPr defaultRowHeight="14.5" x14ac:dyDescent="0.35"/>
  <cols>
    <col min="1" max="1" width="9" customWidth="1"/>
    <col min="2" max="2" width="10.08984375" bestFit="1" customWidth="1"/>
    <col min="4" max="4" width="9.81640625" customWidth="1"/>
    <col min="5" max="5" width="8.81640625" customWidth="1"/>
    <col min="7" max="7" width="9.6328125" customWidth="1"/>
    <col min="10" max="10" width="11.08984375" bestFit="1" customWidth="1"/>
    <col min="11" max="11" width="12.81640625" customWidth="1"/>
    <col min="12" max="12" width="15.81640625" bestFit="1" customWidth="1"/>
  </cols>
  <sheetData>
    <row r="1" spans="1:12" ht="3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226</v>
      </c>
      <c r="J1" s="1" t="s">
        <v>227</v>
      </c>
      <c r="K1" s="2" t="s">
        <v>228</v>
      </c>
      <c r="L1" s="1" t="s">
        <v>229</v>
      </c>
    </row>
    <row r="2" spans="1:12" x14ac:dyDescent="0.35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22158</v>
      </c>
      <c r="G2" s="1">
        <v>1</v>
      </c>
      <c r="H2" s="1">
        <v>1564</v>
      </c>
      <c r="I2" s="1">
        <f>YEAR(Sales_Data[[#This Row],[Date]])</f>
        <v>2024</v>
      </c>
      <c r="J2" s="1" t="str">
        <f>TEXT(Sales_Data[[#This Row],[Date]],"mmmm")</f>
        <v>September</v>
      </c>
      <c r="K2" s="3">
        <f>Sales_Data[[#This Row],[Profit]]/Sales_Data[[#This Row],[Sales]]</f>
        <v>7.0583987724523872E-2</v>
      </c>
      <c r="L2" s="1" t="str">
        <f>IF(Sales_Data[[#This Row],[Profit Margin
Profit/Sales]]&gt;0,"Profit","Loss")</f>
        <v>Profit</v>
      </c>
    </row>
    <row r="3" spans="1:12" x14ac:dyDescent="0.35">
      <c r="A3" s="1">
        <v>1002</v>
      </c>
      <c r="B3" s="1" t="s">
        <v>12</v>
      </c>
      <c r="C3" s="1" t="s">
        <v>9</v>
      </c>
      <c r="D3" s="1" t="s">
        <v>10</v>
      </c>
      <c r="E3" s="1" t="s">
        <v>13</v>
      </c>
      <c r="F3" s="1">
        <v>48142</v>
      </c>
      <c r="G3" s="1">
        <v>9</v>
      </c>
      <c r="H3" s="1">
        <v>4171</v>
      </c>
      <c r="I3" s="1">
        <f>YEAR(Sales_Data[[#This Row],[Date]])</f>
        <v>2024</v>
      </c>
      <c r="J3" s="1" t="str">
        <f>TEXT(Sales_Data[[#This Row],[Date]],"mmmm")</f>
        <v>January</v>
      </c>
      <c r="K3" s="3">
        <f>Sales_Data[[#This Row],[Profit]]/Sales_Data[[#This Row],[Sales]]</f>
        <v>8.663952473931287E-2</v>
      </c>
      <c r="L3" s="1" t="str">
        <f>IF(Sales_Data[[#This Row],[Profit Margin
Profit/Sales]]&gt;0,"Profit","Loss")</f>
        <v>Profit</v>
      </c>
    </row>
    <row r="4" spans="1:12" x14ac:dyDescent="0.35">
      <c r="A4" s="1">
        <v>1003</v>
      </c>
      <c r="B4" s="1" t="s">
        <v>14</v>
      </c>
      <c r="C4" s="1" t="s">
        <v>9</v>
      </c>
      <c r="D4" s="1" t="s">
        <v>15</v>
      </c>
      <c r="E4" s="1" t="s">
        <v>16</v>
      </c>
      <c r="F4" s="1">
        <v>13301</v>
      </c>
      <c r="G4" s="1">
        <v>1</v>
      </c>
      <c r="H4" s="1">
        <v>1992</v>
      </c>
      <c r="I4" s="1">
        <f>YEAR(Sales_Data[[#This Row],[Date]])</f>
        <v>2024</v>
      </c>
      <c r="J4" s="1" t="str">
        <f>TEXT(Sales_Data[[#This Row],[Date]],"mmmm")</f>
        <v>January</v>
      </c>
      <c r="K4" s="3">
        <f>Sales_Data[[#This Row],[Profit]]/Sales_Data[[#This Row],[Sales]]</f>
        <v>0.14976317570107511</v>
      </c>
      <c r="L4" s="1" t="str">
        <f>IF(Sales_Data[[#This Row],[Profit Margin
Profit/Sales]]&gt;0,"Profit","Loss")</f>
        <v>Profit</v>
      </c>
    </row>
    <row r="5" spans="1:12" x14ac:dyDescent="0.35">
      <c r="A5" s="1">
        <v>1004</v>
      </c>
      <c r="B5" s="1" t="s">
        <v>17</v>
      </c>
      <c r="C5" s="1" t="s">
        <v>9</v>
      </c>
      <c r="D5" s="1" t="s">
        <v>15</v>
      </c>
      <c r="E5" s="1" t="s">
        <v>18</v>
      </c>
      <c r="F5" s="1">
        <v>57741</v>
      </c>
      <c r="G5" s="1">
        <v>5</v>
      </c>
      <c r="H5" s="1">
        <v>14016</v>
      </c>
      <c r="I5" s="1">
        <f>YEAR(Sales_Data[[#This Row],[Date]])</f>
        <v>2024</v>
      </c>
      <c r="J5" s="1" t="str">
        <f>TEXT(Sales_Data[[#This Row],[Date]],"mmmm")</f>
        <v>August</v>
      </c>
      <c r="K5" s="3">
        <f>Sales_Data[[#This Row],[Profit]]/Sales_Data[[#This Row],[Sales]]</f>
        <v>0.24273912817581961</v>
      </c>
      <c r="L5" s="1" t="str">
        <f>IF(Sales_Data[[#This Row],[Profit Margin
Profit/Sales]]&gt;0,"Profit","Loss")</f>
        <v>Profit</v>
      </c>
    </row>
    <row r="6" spans="1:12" x14ac:dyDescent="0.35">
      <c r="A6" s="1">
        <v>1005</v>
      </c>
      <c r="B6" s="1" t="s">
        <v>19</v>
      </c>
      <c r="C6" s="1" t="s">
        <v>20</v>
      </c>
      <c r="D6" s="1" t="s">
        <v>15</v>
      </c>
      <c r="E6" s="1" t="s">
        <v>21</v>
      </c>
      <c r="F6" s="1">
        <v>55698</v>
      </c>
      <c r="G6" s="1">
        <v>6</v>
      </c>
      <c r="H6" s="1">
        <v>14170</v>
      </c>
      <c r="I6" s="1">
        <f>YEAR(Sales_Data[[#This Row],[Date]])</f>
        <v>2024</v>
      </c>
      <c r="J6" s="1" t="str">
        <f>TEXT(Sales_Data[[#This Row],[Date]],"mmmm")</f>
        <v>February</v>
      </c>
      <c r="K6" s="3">
        <f>Sales_Data[[#This Row],[Profit]]/Sales_Data[[#This Row],[Sales]]</f>
        <v>0.25440769866063412</v>
      </c>
      <c r="L6" s="1" t="str">
        <f>IF(Sales_Data[[#This Row],[Profit Margin
Profit/Sales]]&gt;0,"Profit","Loss")</f>
        <v>Profit</v>
      </c>
    </row>
    <row r="7" spans="1:12" x14ac:dyDescent="0.35">
      <c r="A7" s="1">
        <v>1006</v>
      </c>
      <c r="B7" s="1" t="s">
        <v>22</v>
      </c>
      <c r="C7" s="1" t="s">
        <v>23</v>
      </c>
      <c r="D7" s="1" t="s">
        <v>10</v>
      </c>
      <c r="E7" s="1" t="s">
        <v>11</v>
      </c>
      <c r="F7" s="1">
        <v>43621</v>
      </c>
      <c r="G7" s="1">
        <v>9</v>
      </c>
      <c r="H7" s="1">
        <v>2593</v>
      </c>
      <c r="I7" s="1">
        <f>YEAR(Sales_Data[[#This Row],[Date]])</f>
        <v>2024</v>
      </c>
      <c r="J7" s="1" t="str">
        <f>TEXT(Sales_Data[[#This Row],[Date]],"mmmm")</f>
        <v>October</v>
      </c>
      <c r="K7" s="3">
        <f>Sales_Data[[#This Row],[Profit]]/Sales_Data[[#This Row],[Sales]]</f>
        <v>5.9443845854061116E-2</v>
      </c>
      <c r="L7" s="1" t="str">
        <f>IF(Sales_Data[[#This Row],[Profit Margin
Profit/Sales]]&gt;0,"Profit","Loss")</f>
        <v>Profit</v>
      </c>
    </row>
    <row r="8" spans="1:12" x14ac:dyDescent="0.35">
      <c r="A8" s="1">
        <v>1007</v>
      </c>
      <c r="B8" s="1" t="s">
        <v>24</v>
      </c>
      <c r="C8" s="1" t="s">
        <v>23</v>
      </c>
      <c r="D8" s="1" t="s">
        <v>10</v>
      </c>
      <c r="E8" s="1" t="s">
        <v>11</v>
      </c>
      <c r="F8" s="1">
        <v>56212</v>
      </c>
      <c r="G8" s="1">
        <v>5</v>
      </c>
      <c r="H8" s="1">
        <v>9062</v>
      </c>
      <c r="I8" s="1">
        <f>YEAR(Sales_Data[[#This Row],[Date]])</f>
        <v>2024</v>
      </c>
      <c r="J8" s="1" t="str">
        <f>TEXT(Sales_Data[[#This Row],[Date]],"mmmm")</f>
        <v>June</v>
      </c>
      <c r="K8" s="3">
        <f>Sales_Data[[#This Row],[Profit]]/Sales_Data[[#This Row],[Sales]]</f>
        <v>0.16121112929623568</v>
      </c>
      <c r="L8" s="1" t="str">
        <f>IF(Sales_Data[[#This Row],[Profit Margin
Profit/Sales]]&gt;0,"Profit","Loss")</f>
        <v>Profit</v>
      </c>
    </row>
    <row r="9" spans="1:12" x14ac:dyDescent="0.35">
      <c r="A9" s="1">
        <v>1008</v>
      </c>
      <c r="B9" s="1" t="s">
        <v>25</v>
      </c>
      <c r="C9" s="1" t="s">
        <v>20</v>
      </c>
      <c r="D9" s="1" t="s">
        <v>10</v>
      </c>
      <c r="E9" s="1" t="s">
        <v>11</v>
      </c>
      <c r="F9" s="1">
        <v>2661</v>
      </c>
      <c r="G9" s="1">
        <v>2</v>
      </c>
      <c r="H9" s="1">
        <v>457</v>
      </c>
      <c r="I9" s="1">
        <f>YEAR(Sales_Data[[#This Row],[Date]])</f>
        <v>2024</v>
      </c>
      <c r="J9" s="1" t="str">
        <f>TEXT(Sales_Data[[#This Row],[Date]],"mmmm")</f>
        <v>August</v>
      </c>
      <c r="K9" s="3">
        <f>Sales_Data[[#This Row],[Profit]]/Sales_Data[[#This Row],[Sales]]</f>
        <v>0.17173994738819992</v>
      </c>
      <c r="L9" s="1" t="str">
        <f>IF(Sales_Data[[#This Row],[Profit Margin
Profit/Sales]]&gt;0,"Profit","Loss")</f>
        <v>Profit</v>
      </c>
    </row>
    <row r="10" spans="1:12" x14ac:dyDescent="0.35">
      <c r="A10" s="1">
        <v>1009</v>
      </c>
      <c r="B10" s="1" t="s">
        <v>26</v>
      </c>
      <c r="C10" s="1" t="s">
        <v>27</v>
      </c>
      <c r="D10" s="1" t="s">
        <v>15</v>
      </c>
      <c r="E10" s="1" t="s">
        <v>16</v>
      </c>
      <c r="F10" s="1">
        <v>37117</v>
      </c>
      <c r="G10" s="1">
        <v>1</v>
      </c>
      <c r="H10" s="1">
        <v>4323</v>
      </c>
      <c r="I10" s="1">
        <f>YEAR(Sales_Data[[#This Row],[Date]])</f>
        <v>2024</v>
      </c>
      <c r="J10" s="1" t="str">
        <f>TEXT(Sales_Data[[#This Row],[Date]],"mmmm")</f>
        <v>November</v>
      </c>
      <c r="K10" s="3">
        <f>Sales_Data[[#This Row],[Profit]]/Sales_Data[[#This Row],[Sales]]</f>
        <v>0.11646954225826441</v>
      </c>
      <c r="L10" s="1" t="str">
        <f>IF(Sales_Data[[#This Row],[Profit Margin
Profit/Sales]]&gt;0,"Profit","Loss")</f>
        <v>Profit</v>
      </c>
    </row>
    <row r="11" spans="1:12" x14ac:dyDescent="0.35">
      <c r="A11" s="1">
        <v>1010</v>
      </c>
      <c r="B11" s="1" t="s">
        <v>28</v>
      </c>
      <c r="C11" s="1" t="s">
        <v>20</v>
      </c>
      <c r="D11" s="1" t="s">
        <v>29</v>
      </c>
      <c r="E11" s="1" t="s">
        <v>30</v>
      </c>
      <c r="F11" s="1">
        <v>13525</v>
      </c>
      <c r="G11" s="1">
        <v>10</v>
      </c>
      <c r="H11" s="1">
        <v>2844</v>
      </c>
      <c r="I11" s="1">
        <f>YEAR(Sales_Data[[#This Row],[Date]])</f>
        <v>2024</v>
      </c>
      <c r="J11" s="1" t="str">
        <f>TEXT(Sales_Data[[#This Row],[Date]],"mmmm")</f>
        <v>August</v>
      </c>
      <c r="K11" s="3">
        <f>Sales_Data[[#This Row],[Profit]]/Sales_Data[[#This Row],[Sales]]</f>
        <v>0.21027726432532348</v>
      </c>
      <c r="L11" s="1" t="str">
        <f>IF(Sales_Data[[#This Row],[Profit Margin
Profit/Sales]]&gt;0,"Profit","Loss")</f>
        <v>Profit</v>
      </c>
    </row>
    <row r="12" spans="1:12" x14ac:dyDescent="0.35">
      <c r="A12" s="1">
        <v>1011</v>
      </c>
      <c r="B12" s="1" t="s">
        <v>31</v>
      </c>
      <c r="C12" s="1" t="s">
        <v>9</v>
      </c>
      <c r="D12" s="1" t="s">
        <v>10</v>
      </c>
      <c r="E12" s="1" t="s">
        <v>11</v>
      </c>
      <c r="F12" s="1">
        <v>17542</v>
      </c>
      <c r="G12" s="1">
        <v>3</v>
      </c>
      <c r="H12" s="1">
        <v>3887</v>
      </c>
      <c r="I12" s="1">
        <f>YEAR(Sales_Data[[#This Row],[Date]])</f>
        <v>2024</v>
      </c>
      <c r="J12" s="1" t="str">
        <f>TEXT(Sales_Data[[#This Row],[Date]],"mmmm")</f>
        <v>November</v>
      </c>
      <c r="K12" s="3">
        <f>Sales_Data[[#This Row],[Profit]]/Sales_Data[[#This Row],[Sales]]</f>
        <v>0.22158248774370085</v>
      </c>
      <c r="L12" s="1" t="str">
        <f>IF(Sales_Data[[#This Row],[Profit Margin
Profit/Sales]]&gt;0,"Profit","Loss")</f>
        <v>Profit</v>
      </c>
    </row>
    <row r="13" spans="1:12" x14ac:dyDescent="0.35">
      <c r="A13" s="1">
        <v>1012</v>
      </c>
      <c r="B13" s="1" t="s">
        <v>32</v>
      </c>
      <c r="C13" s="1" t="s">
        <v>27</v>
      </c>
      <c r="D13" s="1" t="s">
        <v>15</v>
      </c>
      <c r="E13" s="1" t="s">
        <v>16</v>
      </c>
      <c r="F13" s="1">
        <v>52717</v>
      </c>
      <c r="G13" s="1">
        <v>10</v>
      </c>
      <c r="H13" s="1">
        <v>6737</v>
      </c>
      <c r="I13" s="1">
        <f>YEAR(Sales_Data[[#This Row],[Date]])</f>
        <v>2024</v>
      </c>
      <c r="J13" s="1" t="str">
        <f>TEXT(Sales_Data[[#This Row],[Date]],"mmmm")</f>
        <v>March</v>
      </c>
      <c r="K13" s="3">
        <f>Sales_Data[[#This Row],[Profit]]/Sales_Data[[#This Row],[Sales]]</f>
        <v>0.12779558776106378</v>
      </c>
      <c r="L13" s="1" t="str">
        <f>IF(Sales_Data[[#This Row],[Profit Margin
Profit/Sales]]&gt;0,"Profit","Loss")</f>
        <v>Profit</v>
      </c>
    </row>
    <row r="14" spans="1:12" x14ac:dyDescent="0.35">
      <c r="A14" s="1">
        <v>1013</v>
      </c>
      <c r="B14" s="1" t="s">
        <v>33</v>
      </c>
      <c r="C14" s="1" t="s">
        <v>20</v>
      </c>
      <c r="D14" s="1" t="s">
        <v>10</v>
      </c>
      <c r="E14" s="1" t="s">
        <v>34</v>
      </c>
      <c r="F14" s="1">
        <v>45026</v>
      </c>
      <c r="G14" s="1">
        <v>4</v>
      </c>
      <c r="H14" s="1">
        <v>13114</v>
      </c>
      <c r="I14" s="1">
        <f>YEAR(Sales_Data[[#This Row],[Date]])</f>
        <v>2024</v>
      </c>
      <c r="J14" s="1" t="str">
        <f>TEXT(Sales_Data[[#This Row],[Date]],"mmmm")</f>
        <v>February</v>
      </c>
      <c r="K14" s="3">
        <f>Sales_Data[[#This Row],[Profit]]/Sales_Data[[#This Row],[Sales]]</f>
        <v>0.2912539421667481</v>
      </c>
      <c r="L14" s="1" t="str">
        <f>IF(Sales_Data[[#This Row],[Profit Margin
Profit/Sales]]&gt;0,"Profit","Loss")</f>
        <v>Profit</v>
      </c>
    </row>
    <row r="15" spans="1:12" x14ac:dyDescent="0.35">
      <c r="A15" s="1">
        <v>1014</v>
      </c>
      <c r="B15" s="1" t="s">
        <v>35</v>
      </c>
      <c r="C15" s="1" t="s">
        <v>23</v>
      </c>
      <c r="D15" s="1" t="s">
        <v>10</v>
      </c>
      <c r="E15" s="1" t="s">
        <v>11</v>
      </c>
      <c r="F15" s="1">
        <v>53239</v>
      </c>
      <c r="G15" s="1">
        <v>3</v>
      </c>
      <c r="H15" s="1">
        <v>6781</v>
      </c>
      <c r="I15" s="1">
        <f>YEAR(Sales_Data[[#This Row],[Date]])</f>
        <v>2024</v>
      </c>
      <c r="J15" s="1" t="str">
        <f>TEXT(Sales_Data[[#This Row],[Date]],"mmmm")</f>
        <v>October</v>
      </c>
      <c r="K15" s="3">
        <f>Sales_Data[[#This Row],[Profit]]/Sales_Data[[#This Row],[Sales]]</f>
        <v>0.1273690339788501</v>
      </c>
      <c r="L15" s="1" t="str">
        <f>IF(Sales_Data[[#This Row],[Profit Margin
Profit/Sales]]&gt;0,"Profit","Loss")</f>
        <v>Profit</v>
      </c>
    </row>
    <row r="16" spans="1:12" x14ac:dyDescent="0.35">
      <c r="A16" s="1">
        <v>1015</v>
      </c>
      <c r="B16" s="1" t="s">
        <v>36</v>
      </c>
      <c r="C16" s="1" t="s">
        <v>9</v>
      </c>
      <c r="D16" s="1" t="s">
        <v>15</v>
      </c>
      <c r="E16" s="1" t="s">
        <v>21</v>
      </c>
      <c r="F16" s="1">
        <v>29955</v>
      </c>
      <c r="G16" s="1">
        <v>4</v>
      </c>
      <c r="H16" s="1">
        <v>2958</v>
      </c>
      <c r="I16" s="1">
        <f>YEAR(Sales_Data[[#This Row],[Date]])</f>
        <v>2024</v>
      </c>
      <c r="J16" s="1" t="str">
        <f>TEXT(Sales_Data[[#This Row],[Date]],"mmmm")</f>
        <v>November</v>
      </c>
      <c r="K16" s="3">
        <f>Sales_Data[[#This Row],[Profit]]/Sales_Data[[#This Row],[Sales]]</f>
        <v>9.8748122183274917E-2</v>
      </c>
      <c r="L16" s="1" t="str">
        <f>IF(Sales_Data[[#This Row],[Profit Margin
Profit/Sales]]&gt;0,"Profit","Loss")</f>
        <v>Profit</v>
      </c>
    </row>
    <row r="17" spans="1:12" x14ac:dyDescent="0.35">
      <c r="A17" s="1">
        <v>1016</v>
      </c>
      <c r="B17" s="1" t="s">
        <v>37</v>
      </c>
      <c r="C17" s="1" t="s">
        <v>9</v>
      </c>
      <c r="D17" s="1" t="s">
        <v>15</v>
      </c>
      <c r="E17" s="1" t="s">
        <v>21</v>
      </c>
      <c r="F17" s="1">
        <v>46459</v>
      </c>
      <c r="G17" s="1">
        <v>10</v>
      </c>
      <c r="H17" s="1">
        <v>988</v>
      </c>
      <c r="I17" s="1">
        <f>YEAR(Sales_Data[[#This Row],[Date]])</f>
        <v>2024</v>
      </c>
      <c r="J17" s="1" t="str">
        <f>TEXT(Sales_Data[[#This Row],[Date]],"mmmm")</f>
        <v>July</v>
      </c>
      <c r="K17" s="3">
        <f>Sales_Data[[#This Row],[Profit]]/Sales_Data[[#This Row],[Sales]]</f>
        <v>2.1266062549775071E-2</v>
      </c>
      <c r="L17" s="1" t="str">
        <f>IF(Sales_Data[[#This Row],[Profit Margin
Profit/Sales]]&gt;0,"Profit","Loss")</f>
        <v>Profit</v>
      </c>
    </row>
    <row r="18" spans="1:12" x14ac:dyDescent="0.35">
      <c r="A18" s="1">
        <v>1017</v>
      </c>
      <c r="B18" s="1" t="s">
        <v>38</v>
      </c>
      <c r="C18" s="1" t="s">
        <v>9</v>
      </c>
      <c r="D18" s="1" t="s">
        <v>10</v>
      </c>
      <c r="E18" s="1" t="s">
        <v>11</v>
      </c>
      <c r="F18" s="1">
        <v>29710</v>
      </c>
      <c r="G18" s="1">
        <v>4</v>
      </c>
      <c r="H18" s="1">
        <v>2843</v>
      </c>
      <c r="I18" s="1">
        <f>YEAR(Sales_Data[[#This Row],[Date]])</f>
        <v>2024</v>
      </c>
      <c r="J18" s="1" t="str">
        <f>TEXT(Sales_Data[[#This Row],[Date]],"mmmm")</f>
        <v>April</v>
      </c>
      <c r="K18" s="3">
        <f>Sales_Data[[#This Row],[Profit]]/Sales_Data[[#This Row],[Sales]]</f>
        <v>9.5691686300908782E-2</v>
      </c>
      <c r="L18" s="1" t="str">
        <f>IF(Sales_Data[[#This Row],[Profit Margin
Profit/Sales]]&gt;0,"Profit","Loss")</f>
        <v>Profit</v>
      </c>
    </row>
    <row r="19" spans="1:12" x14ac:dyDescent="0.35">
      <c r="A19" s="1">
        <v>1018</v>
      </c>
      <c r="B19" s="1" t="s">
        <v>33</v>
      </c>
      <c r="C19" s="1" t="s">
        <v>27</v>
      </c>
      <c r="D19" s="1" t="s">
        <v>29</v>
      </c>
      <c r="E19" s="1" t="s">
        <v>30</v>
      </c>
      <c r="F19" s="1">
        <v>55219</v>
      </c>
      <c r="G19" s="1">
        <v>10</v>
      </c>
      <c r="H19" s="1">
        <v>1548</v>
      </c>
      <c r="I19" s="1">
        <f>YEAR(Sales_Data[[#This Row],[Date]])</f>
        <v>2024</v>
      </c>
      <c r="J19" s="1" t="str">
        <f>TEXT(Sales_Data[[#This Row],[Date]],"mmmm")</f>
        <v>February</v>
      </c>
      <c r="K19" s="3">
        <f>Sales_Data[[#This Row],[Profit]]/Sales_Data[[#This Row],[Sales]]</f>
        <v>2.8033828935692423E-2</v>
      </c>
      <c r="L19" s="1" t="str">
        <f>IF(Sales_Data[[#This Row],[Profit Margin
Profit/Sales]]&gt;0,"Profit","Loss")</f>
        <v>Profit</v>
      </c>
    </row>
    <row r="20" spans="1:12" x14ac:dyDescent="0.35">
      <c r="A20" s="1">
        <v>1019</v>
      </c>
      <c r="B20" s="1" t="s">
        <v>39</v>
      </c>
      <c r="C20" s="1" t="s">
        <v>23</v>
      </c>
      <c r="D20" s="1" t="s">
        <v>15</v>
      </c>
      <c r="E20" s="1" t="s">
        <v>18</v>
      </c>
      <c r="F20" s="1">
        <v>45904</v>
      </c>
      <c r="G20" s="1">
        <v>2</v>
      </c>
      <c r="H20" s="1">
        <v>3059</v>
      </c>
      <c r="I20" s="1">
        <f>YEAR(Sales_Data[[#This Row],[Date]])</f>
        <v>2024</v>
      </c>
      <c r="J20" s="1" t="str">
        <f>TEXT(Sales_Data[[#This Row],[Date]],"mmmm")</f>
        <v>June</v>
      </c>
      <c r="K20" s="3">
        <f>Sales_Data[[#This Row],[Profit]]/Sales_Data[[#This Row],[Sales]]</f>
        <v>6.6639072847682113E-2</v>
      </c>
      <c r="L20" s="1" t="str">
        <f>IF(Sales_Data[[#This Row],[Profit Margin
Profit/Sales]]&gt;0,"Profit","Loss")</f>
        <v>Profit</v>
      </c>
    </row>
    <row r="21" spans="1:12" x14ac:dyDescent="0.35">
      <c r="A21" s="1">
        <v>1020</v>
      </c>
      <c r="B21" s="1" t="s">
        <v>40</v>
      </c>
      <c r="C21" s="1" t="s">
        <v>9</v>
      </c>
      <c r="D21" s="1" t="s">
        <v>29</v>
      </c>
      <c r="E21" s="1" t="s">
        <v>41</v>
      </c>
      <c r="F21" s="1">
        <v>5798</v>
      </c>
      <c r="G21" s="1">
        <v>1</v>
      </c>
      <c r="H21" s="1">
        <v>251</v>
      </c>
      <c r="I21" s="1">
        <f>YEAR(Sales_Data[[#This Row],[Date]])</f>
        <v>2024</v>
      </c>
      <c r="J21" s="1" t="str">
        <f>TEXT(Sales_Data[[#This Row],[Date]],"mmmm")</f>
        <v>June</v>
      </c>
      <c r="K21" s="3">
        <f>Sales_Data[[#This Row],[Profit]]/Sales_Data[[#This Row],[Sales]]</f>
        <v>4.3290789927561225E-2</v>
      </c>
      <c r="L21" s="1" t="str">
        <f>IF(Sales_Data[[#This Row],[Profit Margin
Profit/Sales]]&gt;0,"Profit","Loss")</f>
        <v>Profit</v>
      </c>
    </row>
    <row r="22" spans="1:12" x14ac:dyDescent="0.35">
      <c r="A22" s="1">
        <v>1021</v>
      </c>
      <c r="B22" s="1" t="s">
        <v>35</v>
      </c>
      <c r="C22" s="1" t="s">
        <v>27</v>
      </c>
      <c r="D22" s="1" t="s">
        <v>10</v>
      </c>
      <c r="E22" s="1" t="s">
        <v>34</v>
      </c>
      <c r="F22" s="1">
        <v>54658</v>
      </c>
      <c r="G22" s="1">
        <v>7</v>
      </c>
      <c r="H22" s="1">
        <v>6269</v>
      </c>
      <c r="I22" s="1">
        <f>YEAR(Sales_Data[[#This Row],[Date]])</f>
        <v>2024</v>
      </c>
      <c r="J22" s="1" t="str">
        <f>TEXT(Sales_Data[[#This Row],[Date]],"mmmm")</f>
        <v>October</v>
      </c>
      <c r="K22" s="3">
        <f>Sales_Data[[#This Row],[Profit]]/Sales_Data[[#This Row],[Sales]]</f>
        <v>0.11469501262395258</v>
      </c>
      <c r="L22" s="1" t="str">
        <f>IF(Sales_Data[[#This Row],[Profit Margin
Profit/Sales]]&gt;0,"Profit","Loss")</f>
        <v>Profit</v>
      </c>
    </row>
    <row r="23" spans="1:12" x14ac:dyDescent="0.35">
      <c r="A23" s="1">
        <v>1022</v>
      </c>
      <c r="B23" s="1" t="s">
        <v>42</v>
      </c>
      <c r="C23" s="1" t="s">
        <v>9</v>
      </c>
      <c r="D23" s="1" t="s">
        <v>29</v>
      </c>
      <c r="E23" s="1" t="s">
        <v>30</v>
      </c>
      <c r="F23" s="1">
        <v>15099</v>
      </c>
      <c r="G23" s="1">
        <v>5</v>
      </c>
      <c r="H23" s="1">
        <v>3311</v>
      </c>
      <c r="I23" s="1">
        <f>YEAR(Sales_Data[[#This Row],[Date]])</f>
        <v>2024</v>
      </c>
      <c r="J23" s="1" t="str">
        <f>TEXT(Sales_Data[[#This Row],[Date]],"mmmm")</f>
        <v>November</v>
      </c>
      <c r="K23" s="3">
        <f>Sales_Data[[#This Row],[Profit]]/Sales_Data[[#This Row],[Sales]]</f>
        <v>0.21928604543347241</v>
      </c>
      <c r="L23" s="1" t="str">
        <f>IF(Sales_Data[[#This Row],[Profit Margin
Profit/Sales]]&gt;0,"Profit","Loss")</f>
        <v>Profit</v>
      </c>
    </row>
    <row r="24" spans="1:12" x14ac:dyDescent="0.35">
      <c r="A24" s="1">
        <v>1023</v>
      </c>
      <c r="B24" s="1" t="s">
        <v>43</v>
      </c>
      <c r="C24" s="1" t="s">
        <v>20</v>
      </c>
      <c r="D24" s="1" t="s">
        <v>15</v>
      </c>
      <c r="E24" s="1" t="s">
        <v>16</v>
      </c>
      <c r="F24" s="1">
        <v>22080</v>
      </c>
      <c r="G24" s="1">
        <v>2</v>
      </c>
      <c r="H24" s="1">
        <v>3003</v>
      </c>
      <c r="I24" s="1">
        <f>YEAR(Sales_Data[[#This Row],[Date]])</f>
        <v>2024</v>
      </c>
      <c r="J24" s="1" t="str">
        <f>TEXT(Sales_Data[[#This Row],[Date]],"mmmm")</f>
        <v>April</v>
      </c>
      <c r="K24" s="3">
        <f>Sales_Data[[#This Row],[Profit]]/Sales_Data[[#This Row],[Sales]]</f>
        <v>0.13600543478260871</v>
      </c>
      <c r="L24" s="1" t="str">
        <f>IF(Sales_Data[[#This Row],[Profit Margin
Profit/Sales]]&gt;0,"Profit","Loss")</f>
        <v>Profit</v>
      </c>
    </row>
    <row r="25" spans="1:12" x14ac:dyDescent="0.35">
      <c r="A25" s="1">
        <v>1024</v>
      </c>
      <c r="B25" s="1" t="s">
        <v>32</v>
      </c>
      <c r="C25" s="1" t="s">
        <v>9</v>
      </c>
      <c r="D25" s="1" t="s">
        <v>29</v>
      </c>
      <c r="E25" s="1" t="s">
        <v>41</v>
      </c>
      <c r="F25" s="1">
        <v>26510</v>
      </c>
      <c r="G25" s="1">
        <v>4</v>
      </c>
      <c r="H25" s="1">
        <v>7202</v>
      </c>
      <c r="I25" s="1">
        <f>YEAR(Sales_Data[[#This Row],[Date]])</f>
        <v>2024</v>
      </c>
      <c r="J25" s="1" t="str">
        <f>TEXT(Sales_Data[[#This Row],[Date]],"mmmm")</f>
        <v>March</v>
      </c>
      <c r="K25" s="3">
        <f>Sales_Data[[#This Row],[Profit]]/Sales_Data[[#This Row],[Sales]]</f>
        <v>0.2716710675216899</v>
      </c>
      <c r="L25" s="1" t="str">
        <f>IF(Sales_Data[[#This Row],[Profit Margin
Profit/Sales]]&gt;0,"Profit","Loss")</f>
        <v>Profit</v>
      </c>
    </row>
    <row r="26" spans="1:12" x14ac:dyDescent="0.35">
      <c r="A26" s="1">
        <v>1025</v>
      </c>
      <c r="B26" s="1" t="s">
        <v>44</v>
      </c>
      <c r="C26" s="1" t="s">
        <v>20</v>
      </c>
      <c r="D26" s="1" t="s">
        <v>29</v>
      </c>
      <c r="E26" s="1" t="s">
        <v>41</v>
      </c>
      <c r="F26" s="1">
        <v>34295</v>
      </c>
      <c r="G26" s="1">
        <v>3</v>
      </c>
      <c r="H26" s="1">
        <v>4284</v>
      </c>
      <c r="I26" s="1">
        <f>YEAR(Sales_Data[[#This Row],[Date]])</f>
        <v>2024</v>
      </c>
      <c r="J26" s="1" t="str">
        <f>TEXT(Sales_Data[[#This Row],[Date]],"mmmm")</f>
        <v>May</v>
      </c>
      <c r="K26" s="3">
        <f>Sales_Data[[#This Row],[Profit]]/Sales_Data[[#This Row],[Sales]]</f>
        <v>0.12491616853768771</v>
      </c>
      <c r="L26" s="1" t="str">
        <f>IF(Sales_Data[[#This Row],[Profit Margin
Profit/Sales]]&gt;0,"Profit","Loss")</f>
        <v>Profit</v>
      </c>
    </row>
    <row r="27" spans="1:12" x14ac:dyDescent="0.35">
      <c r="A27" s="1">
        <v>1026</v>
      </c>
      <c r="B27" s="1" t="s">
        <v>45</v>
      </c>
      <c r="C27" s="1" t="s">
        <v>23</v>
      </c>
      <c r="D27" s="1" t="s">
        <v>15</v>
      </c>
      <c r="E27" s="1" t="s">
        <v>18</v>
      </c>
      <c r="F27" s="1">
        <v>50497</v>
      </c>
      <c r="G27" s="1">
        <v>10</v>
      </c>
      <c r="H27" s="1">
        <v>11469</v>
      </c>
      <c r="I27" s="1">
        <f>YEAR(Sales_Data[[#This Row],[Date]])</f>
        <v>2024</v>
      </c>
      <c r="J27" s="1" t="str">
        <f>TEXT(Sales_Data[[#This Row],[Date]],"mmmm")</f>
        <v>December</v>
      </c>
      <c r="K27" s="3">
        <f>Sales_Data[[#This Row],[Profit]]/Sales_Data[[#This Row],[Sales]]</f>
        <v>0.22712240331108779</v>
      </c>
      <c r="L27" s="1" t="str">
        <f>IF(Sales_Data[[#This Row],[Profit Margin
Profit/Sales]]&gt;0,"Profit","Loss")</f>
        <v>Profit</v>
      </c>
    </row>
    <row r="28" spans="1:12" x14ac:dyDescent="0.35">
      <c r="A28" s="1">
        <v>1027</v>
      </c>
      <c r="B28" s="1" t="s">
        <v>46</v>
      </c>
      <c r="C28" s="1" t="s">
        <v>27</v>
      </c>
      <c r="D28" s="1" t="s">
        <v>15</v>
      </c>
      <c r="E28" s="1" t="s">
        <v>18</v>
      </c>
      <c r="F28" s="1">
        <v>16419</v>
      </c>
      <c r="G28" s="1">
        <v>6</v>
      </c>
      <c r="H28" s="1">
        <v>4185</v>
      </c>
      <c r="I28" s="1">
        <f>YEAR(Sales_Data[[#This Row],[Date]])</f>
        <v>2024</v>
      </c>
      <c r="J28" s="1" t="str">
        <f>TEXT(Sales_Data[[#This Row],[Date]],"mmmm")</f>
        <v>January</v>
      </c>
      <c r="K28" s="3">
        <f>Sales_Data[[#This Row],[Profit]]/Sales_Data[[#This Row],[Sales]]</f>
        <v>0.2548876301845423</v>
      </c>
      <c r="L28" s="1" t="str">
        <f>IF(Sales_Data[[#This Row],[Profit Margin
Profit/Sales]]&gt;0,"Profit","Loss")</f>
        <v>Profit</v>
      </c>
    </row>
    <row r="29" spans="1:12" x14ac:dyDescent="0.35">
      <c r="A29" s="1">
        <v>1028</v>
      </c>
      <c r="B29" s="1" t="s">
        <v>47</v>
      </c>
      <c r="C29" s="1" t="s">
        <v>9</v>
      </c>
      <c r="D29" s="1" t="s">
        <v>10</v>
      </c>
      <c r="E29" s="1" t="s">
        <v>13</v>
      </c>
      <c r="F29" s="1">
        <v>20497</v>
      </c>
      <c r="G29" s="1">
        <v>3</v>
      </c>
      <c r="H29" s="1">
        <v>1833</v>
      </c>
      <c r="I29" s="1">
        <f>YEAR(Sales_Data[[#This Row],[Date]])</f>
        <v>2024</v>
      </c>
      <c r="J29" s="1" t="str">
        <f>TEXT(Sales_Data[[#This Row],[Date]],"mmmm")</f>
        <v>January</v>
      </c>
      <c r="K29" s="3">
        <f>Sales_Data[[#This Row],[Profit]]/Sales_Data[[#This Row],[Sales]]</f>
        <v>8.942772112992145E-2</v>
      </c>
      <c r="L29" s="1" t="str">
        <f>IF(Sales_Data[[#This Row],[Profit Margin
Profit/Sales]]&gt;0,"Profit","Loss")</f>
        <v>Profit</v>
      </c>
    </row>
    <row r="30" spans="1:12" x14ac:dyDescent="0.35">
      <c r="A30" s="1">
        <v>1029</v>
      </c>
      <c r="B30" s="1" t="s">
        <v>48</v>
      </c>
      <c r="C30" s="1" t="s">
        <v>23</v>
      </c>
      <c r="D30" s="1" t="s">
        <v>29</v>
      </c>
      <c r="E30" s="1" t="s">
        <v>49</v>
      </c>
      <c r="F30" s="1">
        <v>35081</v>
      </c>
      <c r="G30" s="1">
        <v>1</v>
      </c>
      <c r="H30" s="1">
        <v>1262</v>
      </c>
      <c r="I30" s="1">
        <f>YEAR(Sales_Data[[#This Row],[Date]])</f>
        <v>2024</v>
      </c>
      <c r="J30" s="1" t="str">
        <f>TEXT(Sales_Data[[#This Row],[Date]],"mmmm")</f>
        <v>January</v>
      </c>
      <c r="K30" s="3">
        <f>Sales_Data[[#This Row],[Profit]]/Sales_Data[[#This Row],[Sales]]</f>
        <v>3.597388899974345E-2</v>
      </c>
      <c r="L30" s="1" t="str">
        <f>IF(Sales_Data[[#This Row],[Profit Margin
Profit/Sales]]&gt;0,"Profit","Loss")</f>
        <v>Profit</v>
      </c>
    </row>
    <row r="31" spans="1:12" x14ac:dyDescent="0.35">
      <c r="A31" s="1">
        <v>1030</v>
      </c>
      <c r="B31" s="1" t="s">
        <v>50</v>
      </c>
      <c r="C31" s="1" t="s">
        <v>27</v>
      </c>
      <c r="D31" s="1" t="s">
        <v>10</v>
      </c>
      <c r="E31" s="1" t="s">
        <v>13</v>
      </c>
      <c r="F31" s="1">
        <v>38743</v>
      </c>
      <c r="G31" s="1">
        <v>5</v>
      </c>
      <c r="H31" s="1">
        <v>4848</v>
      </c>
      <c r="I31" s="1">
        <f>YEAR(Sales_Data[[#This Row],[Date]])</f>
        <v>2024</v>
      </c>
      <c r="J31" s="1" t="str">
        <f>TEXT(Sales_Data[[#This Row],[Date]],"mmmm")</f>
        <v>October</v>
      </c>
      <c r="K31" s="3">
        <f>Sales_Data[[#This Row],[Profit]]/Sales_Data[[#This Row],[Sales]]</f>
        <v>0.12513228196061224</v>
      </c>
      <c r="L31" s="1" t="str">
        <f>IF(Sales_Data[[#This Row],[Profit Margin
Profit/Sales]]&gt;0,"Profit","Loss")</f>
        <v>Profit</v>
      </c>
    </row>
    <row r="32" spans="1:12" x14ac:dyDescent="0.35">
      <c r="A32" s="1">
        <v>1031</v>
      </c>
      <c r="B32" s="1" t="s">
        <v>51</v>
      </c>
      <c r="C32" s="1" t="s">
        <v>9</v>
      </c>
      <c r="D32" s="1" t="s">
        <v>29</v>
      </c>
      <c r="E32" s="1" t="s">
        <v>41</v>
      </c>
      <c r="F32" s="1">
        <v>44247</v>
      </c>
      <c r="G32" s="1">
        <v>4</v>
      </c>
      <c r="H32" s="1">
        <v>4052</v>
      </c>
      <c r="I32" s="1">
        <f>YEAR(Sales_Data[[#This Row],[Date]])</f>
        <v>2024</v>
      </c>
      <c r="J32" s="1" t="str">
        <f>TEXT(Sales_Data[[#This Row],[Date]],"mmmm")</f>
        <v>January</v>
      </c>
      <c r="K32" s="3">
        <f>Sales_Data[[#This Row],[Profit]]/Sales_Data[[#This Row],[Sales]]</f>
        <v>9.1576830067575207E-2</v>
      </c>
      <c r="L32" s="1" t="str">
        <f>IF(Sales_Data[[#This Row],[Profit Margin
Profit/Sales]]&gt;0,"Profit","Loss")</f>
        <v>Profit</v>
      </c>
    </row>
    <row r="33" spans="1:12" x14ac:dyDescent="0.35">
      <c r="A33" s="1">
        <v>1032</v>
      </c>
      <c r="B33" s="1" t="s">
        <v>52</v>
      </c>
      <c r="C33" s="1" t="s">
        <v>23</v>
      </c>
      <c r="D33" s="1" t="s">
        <v>10</v>
      </c>
      <c r="E33" s="1" t="s">
        <v>13</v>
      </c>
      <c r="F33" s="1">
        <v>55919</v>
      </c>
      <c r="G33" s="1">
        <v>7</v>
      </c>
      <c r="H33" s="1">
        <v>11153</v>
      </c>
      <c r="I33" s="1">
        <f>YEAR(Sales_Data[[#This Row],[Date]])</f>
        <v>2024</v>
      </c>
      <c r="J33" s="1" t="str">
        <f>TEXT(Sales_Data[[#This Row],[Date]],"mmmm")</f>
        <v>July</v>
      </c>
      <c r="K33" s="3">
        <f>Sales_Data[[#This Row],[Profit]]/Sales_Data[[#This Row],[Sales]]</f>
        <v>0.19944920331193333</v>
      </c>
      <c r="L33" s="1" t="str">
        <f>IF(Sales_Data[[#This Row],[Profit Margin
Profit/Sales]]&gt;0,"Profit","Loss")</f>
        <v>Profit</v>
      </c>
    </row>
    <row r="34" spans="1:12" x14ac:dyDescent="0.35">
      <c r="A34" s="1">
        <v>1033</v>
      </c>
      <c r="B34" s="1" t="s">
        <v>53</v>
      </c>
      <c r="C34" s="1" t="s">
        <v>20</v>
      </c>
      <c r="D34" s="1" t="s">
        <v>29</v>
      </c>
      <c r="E34" s="1" t="s">
        <v>41</v>
      </c>
      <c r="F34" s="1">
        <v>55044</v>
      </c>
      <c r="G34" s="1">
        <v>5</v>
      </c>
      <c r="H34" s="1">
        <v>4558</v>
      </c>
      <c r="I34" s="1">
        <f>YEAR(Sales_Data[[#This Row],[Date]])</f>
        <v>2024</v>
      </c>
      <c r="J34" s="1" t="str">
        <f>TEXT(Sales_Data[[#This Row],[Date]],"mmmm")</f>
        <v>June</v>
      </c>
      <c r="K34" s="3">
        <f>Sales_Data[[#This Row],[Profit]]/Sales_Data[[#This Row],[Sales]]</f>
        <v>8.2806482087057626E-2</v>
      </c>
      <c r="L34" s="1" t="str">
        <f>IF(Sales_Data[[#This Row],[Profit Margin
Profit/Sales]]&gt;0,"Profit","Loss")</f>
        <v>Profit</v>
      </c>
    </row>
    <row r="35" spans="1:12" x14ac:dyDescent="0.35">
      <c r="A35" s="1">
        <v>1034</v>
      </c>
      <c r="B35" s="1" t="s">
        <v>24</v>
      </c>
      <c r="C35" s="1" t="s">
        <v>20</v>
      </c>
      <c r="D35" s="1" t="s">
        <v>15</v>
      </c>
      <c r="E35" s="1" t="s">
        <v>21</v>
      </c>
      <c r="F35" s="1">
        <v>42662</v>
      </c>
      <c r="G35" s="1">
        <v>1</v>
      </c>
      <c r="H35" s="1">
        <v>10518</v>
      </c>
      <c r="I35" s="1">
        <f>YEAR(Sales_Data[[#This Row],[Date]])</f>
        <v>2024</v>
      </c>
      <c r="J35" s="1" t="str">
        <f>TEXT(Sales_Data[[#This Row],[Date]],"mmmm")</f>
        <v>June</v>
      </c>
      <c r="K35" s="3">
        <f>Sales_Data[[#This Row],[Profit]]/Sales_Data[[#This Row],[Sales]]</f>
        <v>0.24654259059584643</v>
      </c>
      <c r="L35" s="1" t="str">
        <f>IF(Sales_Data[[#This Row],[Profit Margin
Profit/Sales]]&gt;0,"Profit","Loss")</f>
        <v>Profit</v>
      </c>
    </row>
    <row r="36" spans="1:12" x14ac:dyDescent="0.35">
      <c r="A36" s="1">
        <v>1035</v>
      </c>
      <c r="B36" s="1" t="s">
        <v>54</v>
      </c>
      <c r="C36" s="1" t="s">
        <v>20</v>
      </c>
      <c r="D36" s="1" t="s">
        <v>29</v>
      </c>
      <c r="E36" s="1" t="s">
        <v>30</v>
      </c>
      <c r="F36" s="1">
        <v>22764</v>
      </c>
      <c r="G36" s="1">
        <v>8</v>
      </c>
      <c r="H36" s="1">
        <v>3509</v>
      </c>
      <c r="I36" s="1">
        <f>YEAR(Sales_Data[[#This Row],[Date]])</f>
        <v>2024</v>
      </c>
      <c r="J36" s="1" t="str">
        <f>TEXT(Sales_Data[[#This Row],[Date]],"mmmm")</f>
        <v>March</v>
      </c>
      <c r="K36" s="3">
        <f>Sales_Data[[#This Row],[Profit]]/Sales_Data[[#This Row],[Sales]]</f>
        <v>0.15414689861184327</v>
      </c>
      <c r="L36" s="1" t="str">
        <f>IF(Sales_Data[[#This Row],[Profit Margin
Profit/Sales]]&gt;0,"Profit","Loss")</f>
        <v>Profit</v>
      </c>
    </row>
    <row r="37" spans="1:12" x14ac:dyDescent="0.35">
      <c r="A37" s="1">
        <v>1036</v>
      </c>
      <c r="B37" s="1" t="s">
        <v>55</v>
      </c>
      <c r="C37" s="1" t="s">
        <v>9</v>
      </c>
      <c r="D37" s="1" t="s">
        <v>15</v>
      </c>
      <c r="E37" s="1" t="s">
        <v>21</v>
      </c>
      <c r="F37" s="1">
        <v>8479</v>
      </c>
      <c r="G37" s="1">
        <v>10</v>
      </c>
      <c r="H37" s="1">
        <v>1266</v>
      </c>
      <c r="I37" s="1">
        <f>YEAR(Sales_Data[[#This Row],[Date]])</f>
        <v>2024</v>
      </c>
      <c r="J37" s="1" t="str">
        <f>TEXT(Sales_Data[[#This Row],[Date]],"mmmm")</f>
        <v>July</v>
      </c>
      <c r="K37" s="3">
        <f>Sales_Data[[#This Row],[Profit]]/Sales_Data[[#This Row],[Sales]]</f>
        <v>0.14931006014860243</v>
      </c>
      <c r="L37" s="1" t="str">
        <f>IF(Sales_Data[[#This Row],[Profit Margin
Profit/Sales]]&gt;0,"Profit","Loss")</f>
        <v>Profit</v>
      </c>
    </row>
    <row r="38" spans="1:12" x14ac:dyDescent="0.35">
      <c r="A38" s="1">
        <v>1037</v>
      </c>
      <c r="B38" s="1" t="s">
        <v>56</v>
      </c>
      <c r="C38" s="1" t="s">
        <v>23</v>
      </c>
      <c r="D38" s="1" t="s">
        <v>29</v>
      </c>
      <c r="E38" s="1" t="s">
        <v>30</v>
      </c>
      <c r="F38" s="1">
        <v>20596</v>
      </c>
      <c r="G38" s="1">
        <v>5</v>
      </c>
      <c r="H38" s="1">
        <v>5549</v>
      </c>
      <c r="I38" s="1">
        <f>YEAR(Sales_Data[[#This Row],[Date]])</f>
        <v>2024</v>
      </c>
      <c r="J38" s="1" t="str">
        <f>TEXT(Sales_Data[[#This Row],[Date]],"mmmm")</f>
        <v>April</v>
      </c>
      <c r="K38" s="3">
        <f>Sales_Data[[#This Row],[Profit]]/Sales_Data[[#This Row],[Sales]]</f>
        <v>0.26942124684404739</v>
      </c>
      <c r="L38" s="1" t="str">
        <f>IF(Sales_Data[[#This Row],[Profit Margin
Profit/Sales]]&gt;0,"Profit","Loss")</f>
        <v>Profit</v>
      </c>
    </row>
    <row r="39" spans="1:12" x14ac:dyDescent="0.35">
      <c r="A39" s="1">
        <v>1038</v>
      </c>
      <c r="B39" s="1" t="s">
        <v>57</v>
      </c>
      <c r="C39" s="1" t="s">
        <v>23</v>
      </c>
      <c r="D39" s="1" t="s">
        <v>10</v>
      </c>
      <c r="E39" s="1" t="s">
        <v>11</v>
      </c>
      <c r="F39" s="1">
        <v>2285</v>
      </c>
      <c r="G39" s="1">
        <v>2</v>
      </c>
      <c r="H39" s="1">
        <v>482</v>
      </c>
      <c r="I39" s="1">
        <f>YEAR(Sales_Data[[#This Row],[Date]])</f>
        <v>2024</v>
      </c>
      <c r="J39" s="1" t="str">
        <f>TEXT(Sales_Data[[#This Row],[Date]],"mmmm")</f>
        <v>January</v>
      </c>
      <c r="K39" s="3">
        <f>Sales_Data[[#This Row],[Profit]]/Sales_Data[[#This Row],[Sales]]</f>
        <v>0.21094091903719914</v>
      </c>
      <c r="L39" s="1" t="str">
        <f>IF(Sales_Data[[#This Row],[Profit Margin
Profit/Sales]]&gt;0,"Profit","Loss")</f>
        <v>Profit</v>
      </c>
    </row>
    <row r="40" spans="1:12" x14ac:dyDescent="0.35">
      <c r="A40" s="1">
        <v>1039</v>
      </c>
      <c r="B40" s="1" t="s">
        <v>8</v>
      </c>
      <c r="C40" s="1" t="s">
        <v>9</v>
      </c>
      <c r="D40" s="1" t="s">
        <v>29</v>
      </c>
      <c r="E40" s="1" t="s">
        <v>30</v>
      </c>
      <c r="F40" s="1">
        <v>10991</v>
      </c>
      <c r="G40" s="1">
        <v>1</v>
      </c>
      <c r="H40" s="1">
        <v>1306</v>
      </c>
      <c r="I40" s="1">
        <f>YEAR(Sales_Data[[#This Row],[Date]])</f>
        <v>2024</v>
      </c>
      <c r="J40" s="1" t="str">
        <f>TEXT(Sales_Data[[#This Row],[Date]],"mmmm")</f>
        <v>September</v>
      </c>
      <c r="K40" s="3">
        <f>Sales_Data[[#This Row],[Profit]]/Sales_Data[[#This Row],[Sales]]</f>
        <v>0.1188244927668092</v>
      </c>
      <c r="L40" s="1" t="str">
        <f>IF(Sales_Data[[#This Row],[Profit Margin
Profit/Sales]]&gt;0,"Profit","Loss")</f>
        <v>Profit</v>
      </c>
    </row>
    <row r="41" spans="1:12" x14ac:dyDescent="0.35">
      <c r="A41" s="1">
        <v>1040</v>
      </c>
      <c r="B41" s="1" t="s">
        <v>58</v>
      </c>
      <c r="C41" s="1" t="s">
        <v>9</v>
      </c>
      <c r="D41" s="1" t="s">
        <v>10</v>
      </c>
      <c r="E41" s="1" t="s">
        <v>13</v>
      </c>
      <c r="F41" s="1">
        <v>35818</v>
      </c>
      <c r="G41" s="1">
        <v>9</v>
      </c>
      <c r="H41" s="1">
        <v>1373</v>
      </c>
      <c r="I41" s="1">
        <f>YEAR(Sales_Data[[#This Row],[Date]])</f>
        <v>2024</v>
      </c>
      <c r="J41" s="1" t="str">
        <f>TEXT(Sales_Data[[#This Row],[Date]],"mmmm")</f>
        <v>October</v>
      </c>
      <c r="K41" s="3">
        <f>Sales_Data[[#This Row],[Profit]]/Sales_Data[[#This Row],[Sales]]</f>
        <v>3.8332681891786249E-2</v>
      </c>
      <c r="L41" s="1" t="str">
        <f>IF(Sales_Data[[#This Row],[Profit Margin
Profit/Sales]]&gt;0,"Profit","Loss")</f>
        <v>Profit</v>
      </c>
    </row>
    <row r="42" spans="1:12" x14ac:dyDescent="0.35">
      <c r="A42" s="1">
        <v>1041</v>
      </c>
      <c r="B42" s="1" t="s">
        <v>59</v>
      </c>
      <c r="C42" s="1" t="s">
        <v>9</v>
      </c>
      <c r="D42" s="1" t="s">
        <v>15</v>
      </c>
      <c r="E42" s="1" t="s">
        <v>18</v>
      </c>
      <c r="F42" s="1">
        <v>44607</v>
      </c>
      <c r="G42" s="1">
        <v>9</v>
      </c>
      <c r="H42" s="1">
        <v>13235</v>
      </c>
      <c r="I42" s="1">
        <f>YEAR(Sales_Data[[#This Row],[Date]])</f>
        <v>2024</v>
      </c>
      <c r="J42" s="1" t="str">
        <f>TEXT(Sales_Data[[#This Row],[Date]],"mmmm")</f>
        <v>April</v>
      </c>
      <c r="K42" s="3">
        <f>Sales_Data[[#This Row],[Profit]]/Sales_Data[[#This Row],[Sales]]</f>
        <v>0.29670231129643332</v>
      </c>
      <c r="L42" s="1" t="str">
        <f>IF(Sales_Data[[#This Row],[Profit Margin
Profit/Sales]]&gt;0,"Profit","Loss")</f>
        <v>Profit</v>
      </c>
    </row>
    <row r="43" spans="1:12" x14ac:dyDescent="0.35">
      <c r="A43" s="1">
        <v>1042</v>
      </c>
      <c r="B43" s="1" t="s">
        <v>60</v>
      </c>
      <c r="C43" s="1" t="s">
        <v>20</v>
      </c>
      <c r="D43" s="1" t="s">
        <v>15</v>
      </c>
      <c r="E43" s="1" t="s">
        <v>21</v>
      </c>
      <c r="F43" s="1">
        <v>56946</v>
      </c>
      <c r="G43" s="1">
        <v>4</v>
      </c>
      <c r="H43" s="1">
        <v>1008</v>
      </c>
      <c r="I43" s="1">
        <f>YEAR(Sales_Data[[#This Row],[Date]])</f>
        <v>2024</v>
      </c>
      <c r="J43" s="1" t="str">
        <f>TEXT(Sales_Data[[#This Row],[Date]],"mmmm")</f>
        <v>July</v>
      </c>
      <c r="K43" s="3">
        <f>Sales_Data[[#This Row],[Profit]]/Sales_Data[[#This Row],[Sales]]</f>
        <v>1.770097987567169E-2</v>
      </c>
      <c r="L43" s="1" t="str">
        <f>IF(Sales_Data[[#This Row],[Profit Margin
Profit/Sales]]&gt;0,"Profit","Loss")</f>
        <v>Profit</v>
      </c>
    </row>
    <row r="44" spans="1:12" x14ac:dyDescent="0.35">
      <c r="A44" s="1">
        <v>1043</v>
      </c>
      <c r="B44" s="1" t="s">
        <v>61</v>
      </c>
      <c r="C44" s="1" t="s">
        <v>23</v>
      </c>
      <c r="D44" s="1" t="s">
        <v>15</v>
      </c>
      <c r="E44" s="1" t="s">
        <v>18</v>
      </c>
      <c r="F44" s="1">
        <v>40165</v>
      </c>
      <c r="G44" s="1">
        <v>1</v>
      </c>
      <c r="H44" s="1">
        <v>2402</v>
      </c>
      <c r="I44" s="1">
        <f>YEAR(Sales_Data[[#This Row],[Date]])</f>
        <v>2024</v>
      </c>
      <c r="J44" s="1" t="str">
        <f>TEXT(Sales_Data[[#This Row],[Date]],"mmmm")</f>
        <v>February</v>
      </c>
      <c r="K44" s="3">
        <f>Sales_Data[[#This Row],[Profit]]/Sales_Data[[#This Row],[Sales]]</f>
        <v>5.9803311340719534E-2</v>
      </c>
      <c r="L44" s="1" t="str">
        <f>IF(Sales_Data[[#This Row],[Profit Margin
Profit/Sales]]&gt;0,"Profit","Loss")</f>
        <v>Profit</v>
      </c>
    </row>
    <row r="45" spans="1:12" x14ac:dyDescent="0.35">
      <c r="A45" s="1">
        <v>1044</v>
      </c>
      <c r="B45" s="1" t="s">
        <v>62</v>
      </c>
      <c r="C45" s="1" t="s">
        <v>27</v>
      </c>
      <c r="D45" s="1" t="s">
        <v>10</v>
      </c>
      <c r="E45" s="1" t="s">
        <v>13</v>
      </c>
      <c r="F45" s="1">
        <v>31598</v>
      </c>
      <c r="G45" s="1">
        <v>2</v>
      </c>
      <c r="H45" s="1">
        <v>9347</v>
      </c>
      <c r="I45" s="1">
        <f>YEAR(Sales_Data[[#This Row],[Date]])</f>
        <v>2024</v>
      </c>
      <c r="J45" s="1" t="str">
        <f>TEXT(Sales_Data[[#This Row],[Date]],"mmmm")</f>
        <v>June</v>
      </c>
      <c r="K45" s="3">
        <f>Sales_Data[[#This Row],[Profit]]/Sales_Data[[#This Row],[Sales]]</f>
        <v>0.29580986138363186</v>
      </c>
      <c r="L45" s="1" t="str">
        <f>IF(Sales_Data[[#This Row],[Profit Margin
Profit/Sales]]&gt;0,"Profit","Loss")</f>
        <v>Profit</v>
      </c>
    </row>
    <row r="46" spans="1:12" x14ac:dyDescent="0.35">
      <c r="A46" s="1">
        <v>1045</v>
      </c>
      <c r="B46" s="1" t="s">
        <v>59</v>
      </c>
      <c r="C46" s="1" t="s">
        <v>20</v>
      </c>
      <c r="D46" s="1" t="s">
        <v>15</v>
      </c>
      <c r="E46" s="1" t="s">
        <v>21</v>
      </c>
      <c r="F46" s="1">
        <v>59876</v>
      </c>
      <c r="G46" s="1">
        <v>1</v>
      </c>
      <c r="H46" s="1">
        <v>251</v>
      </c>
      <c r="I46" s="1">
        <f>YEAR(Sales_Data[[#This Row],[Date]])</f>
        <v>2024</v>
      </c>
      <c r="J46" s="1" t="str">
        <f>TEXT(Sales_Data[[#This Row],[Date]],"mmmm")</f>
        <v>April</v>
      </c>
      <c r="K46" s="3">
        <f>Sales_Data[[#This Row],[Profit]]/Sales_Data[[#This Row],[Sales]]</f>
        <v>4.1919967933729705E-3</v>
      </c>
      <c r="L46" s="1" t="str">
        <f>IF(Sales_Data[[#This Row],[Profit Margin
Profit/Sales]]&gt;0,"Profit","Loss")</f>
        <v>Profit</v>
      </c>
    </row>
    <row r="47" spans="1:12" x14ac:dyDescent="0.35">
      <c r="A47" s="1">
        <v>1046</v>
      </c>
      <c r="B47" s="1" t="s">
        <v>63</v>
      </c>
      <c r="C47" s="1" t="s">
        <v>20</v>
      </c>
      <c r="D47" s="1" t="s">
        <v>29</v>
      </c>
      <c r="E47" s="1" t="s">
        <v>49</v>
      </c>
      <c r="F47" s="1">
        <v>27682</v>
      </c>
      <c r="G47" s="1">
        <v>6</v>
      </c>
      <c r="H47" s="1">
        <v>2002</v>
      </c>
      <c r="I47" s="1">
        <f>YEAR(Sales_Data[[#This Row],[Date]])</f>
        <v>2024</v>
      </c>
      <c r="J47" s="1" t="str">
        <f>TEXT(Sales_Data[[#This Row],[Date]],"mmmm")</f>
        <v>December</v>
      </c>
      <c r="K47" s="3">
        <f>Sales_Data[[#This Row],[Profit]]/Sales_Data[[#This Row],[Sales]]</f>
        <v>7.2321364063290219E-2</v>
      </c>
      <c r="L47" s="1" t="str">
        <f>IF(Sales_Data[[#This Row],[Profit Margin
Profit/Sales]]&gt;0,"Profit","Loss")</f>
        <v>Profit</v>
      </c>
    </row>
    <row r="48" spans="1:12" x14ac:dyDescent="0.35">
      <c r="A48" s="1">
        <v>1047</v>
      </c>
      <c r="B48" s="1" t="s">
        <v>64</v>
      </c>
      <c r="C48" s="1" t="s">
        <v>20</v>
      </c>
      <c r="D48" s="1" t="s">
        <v>10</v>
      </c>
      <c r="E48" s="1" t="s">
        <v>13</v>
      </c>
      <c r="F48" s="1">
        <v>7665</v>
      </c>
      <c r="G48" s="1">
        <v>3</v>
      </c>
      <c r="H48" s="1">
        <v>1173</v>
      </c>
      <c r="I48" s="1">
        <f>YEAR(Sales_Data[[#This Row],[Date]])</f>
        <v>2024</v>
      </c>
      <c r="J48" s="1" t="str">
        <f>TEXT(Sales_Data[[#This Row],[Date]],"mmmm")</f>
        <v>July</v>
      </c>
      <c r="K48" s="3">
        <f>Sales_Data[[#This Row],[Profit]]/Sales_Data[[#This Row],[Sales]]</f>
        <v>0.15303326810176127</v>
      </c>
      <c r="L48" s="1" t="str">
        <f>IF(Sales_Data[[#This Row],[Profit Margin
Profit/Sales]]&gt;0,"Profit","Loss")</f>
        <v>Profit</v>
      </c>
    </row>
    <row r="49" spans="1:12" x14ac:dyDescent="0.35">
      <c r="A49" s="1">
        <v>1048</v>
      </c>
      <c r="B49" s="1" t="s">
        <v>65</v>
      </c>
      <c r="C49" s="1" t="s">
        <v>27</v>
      </c>
      <c r="D49" s="1" t="s">
        <v>15</v>
      </c>
      <c r="E49" s="1" t="s">
        <v>21</v>
      </c>
      <c r="F49" s="1">
        <v>12994</v>
      </c>
      <c r="G49" s="1">
        <v>8</v>
      </c>
      <c r="H49" s="1">
        <v>3739</v>
      </c>
      <c r="I49" s="1">
        <f>YEAR(Sales_Data[[#This Row],[Date]])</f>
        <v>2024</v>
      </c>
      <c r="J49" s="1" t="str">
        <f>TEXT(Sales_Data[[#This Row],[Date]],"mmmm")</f>
        <v>June</v>
      </c>
      <c r="K49" s="3">
        <f>Sales_Data[[#This Row],[Profit]]/Sales_Data[[#This Row],[Sales]]</f>
        <v>0.28774819147298752</v>
      </c>
      <c r="L49" s="1" t="str">
        <f>IF(Sales_Data[[#This Row],[Profit Margin
Profit/Sales]]&gt;0,"Profit","Loss")</f>
        <v>Profit</v>
      </c>
    </row>
    <row r="50" spans="1:12" x14ac:dyDescent="0.35">
      <c r="A50" s="1">
        <v>1049</v>
      </c>
      <c r="B50" s="1" t="s">
        <v>66</v>
      </c>
      <c r="C50" s="1" t="s">
        <v>23</v>
      </c>
      <c r="D50" s="1" t="s">
        <v>10</v>
      </c>
      <c r="E50" s="1" t="s">
        <v>34</v>
      </c>
      <c r="F50" s="1">
        <v>48744</v>
      </c>
      <c r="G50" s="1">
        <v>3</v>
      </c>
      <c r="H50" s="1">
        <v>842</v>
      </c>
      <c r="I50" s="1">
        <f>YEAR(Sales_Data[[#This Row],[Date]])</f>
        <v>2024</v>
      </c>
      <c r="J50" s="1" t="str">
        <f>TEXT(Sales_Data[[#This Row],[Date]],"mmmm")</f>
        <v>May</v>
      </c>
      <c r="K50" s="3">
        <f>Sales_Data[[#This Row],[Profit]]/Sales_Data[[#This Row],[Sales]]</f>
        <v>1.7273920892827834E-2</v>
      </c>
      <c r="L50" s="1" t="str">
        <f>IF(Sales_Data[[#This Row],[Profit Margin
Profit/Sales]]&gt;0,"Profit","Loss")</f>
        <v>Profit</v>
      </c>
    </row>
    <row r="51" spans="1:12" x14ac:dyDescent="0.35">
      <c r="A51" s="1">
        <v>1050</v>
      </c>
      <c r="B51" s="1" t="s">
        <v>54</v>
      </c>
      <c r="C51" s="1" t="s">
        <v>20</v>
      </c>
      <c r="D51" s="1" t="s">
        <v>10</v>
      </c>
      <c r="E51" s="1" t="s">
        <v>13</v>
      </c>
      <c r="F51" s="1">
        <v>24635</v>
      </c>
      <c r="G51" s="1">
        <v>9</v>
      </c>
      <c r="H51" s="1">
        <v>3248</v>
      </c>
      <c r="I51" s="1">
        <f>YEAR(Sales_Data[[#This Row],[Date]])</f>
        <v>2024</v>
      </c>
      <c r="J51" s="1" t="str">
        <f>TEXT(Sales_Data[[#This Row],[Date]],"mmmm")</f>
        <v>March</v>
      </c>
      <c r="K51" s="3">
        <f>Sales_Data[[#This Row],[Profit]]/Sales_Data[[#This Row],[Sales]]</f>
        <v>0.13184493606657194</v>
      </c>
      <c r="L51" s="1" t="str">
        <f>IF(Sales_Data[[#This Row],[Profit Margin
Profit/Sales]]&gt;0,"Profit","Loss")</f>
        <v>Profit</v>
      </c>
    </row>
    <row r="52" spans="1:12" x14ac:dyDescent="0.35">
      <c r="A52" s="1">
        <v>1051</v>
      </c>
      <c r="B52" s="1" t="s">
        <v>33</v>
      </c>
      <c r="C52" s="1" t="s">
        <v>23</v>
      </c>
      <c r="D52" s="1" t="s">
        <v>29</v>
      </c>
      <c r="E52" s="1" t="s">
        <v>30</v>
      </c>
      <c r="F52" s="1">
        <v>52475</v>
      </c>
      <c r="G52" s="1">
        <v>8</v>
      </c>
      <c r="H52" s="1">
        <v>4283</v>
      </c>
      <c r="I52" s="1">
        <f>YEAR(Sales_Data[[#This Row],[Date]])</f>
        <v>2024</v>
      </c>
      <c r="J52" s="1" t="str">
        <f>TEXT(Sales_Data[[#This Row],[Date]],"mmmm")</f>
        <v>February</v>
      </c>
      <c r="K52" s="3">
        <f>Sales_Data[[#This Row],[Profit]]/Sales_Data[[#This Row],[Sales]]</f>
        <v>8.1619818961410198E-2</v>
      </c>
      <c r="L52" s="1" t="str">
        <f>IF(Sales_Data[[#This Row],[Profit Margin
Profit/Sales]]&gt;0,"Profit","Loss")</f>
        <v>Profit</v>
      </c>
    </row>
    <row r="53" spans="1:12" x14ac:dyDescent="0.35">
      <c r="A53" s="1">
        <v>1052</v>
      </c>
      <c r="B53" s="1" t="s">
        <v>67</v>
      </c>
      <c r="C53" s="1" t="s">
        <v>27</v>
      </c>
      <c r="D53" s="1" t="s">
        <v>29</v>
      </c>
      <c r="E53" s="1" t="s">
        <v>49</v>
      </c>
      <c r="F53" s="1">
        <v>51344</v>
      </c>
      <c r="G53" s="1">
        <v>6</v>
      </c>
      <c r="H53" s="1">
        <v>12594</v>
      </c>
      <c r="I53" s="1">
        <f>YEAR(Sales_Data[[#This Row],[Date]])</f>
        <v>2024</v>
      </c>
      <c r="J53" s="1" t="str">
        <f>TEXT(Sales_Data[[#This Row],[Date]],"mmmm")</f>
        <v>August</v>
      </c>
      <c r="K53" s="3">
        <f>Sales_Data[[#This Row],[Profit]]/Sales_Data[[#This Row],[Sales]]</f>
        <v>0.24528669367404177</v>
      </c>
      <c r="L53" s="1" t="str">
        <f>IF(Sales_Data[[#This Row],[Profit Margin
Profit/Sales]]&gt;0,"Profit","Loss")</f>
        <v>Profit</v>
      </c>
    </row>
    <row r="54" spans="1:12" x14ac:dyDescent="0.35">
      <c r="A54" s="1">
        <v>1053</v>
      </c>
      <c r="B54" s="1" t="s">
        <v>68</v>
      </c>
      <c r="C54" s="1" t="s">
        <v>20</v>
      </c>
      <c r="D54" s="1" t="s">
        <v>29</v>
      </c>
      <c r="E54" s="1" t="s">
        <v>49</v>
      </c>
      <c r="F54" s="1">
        <v>59593</v>
      </c>
      <c r="G54" s="1">
        <v>3</v>
      </c>
      <c r="H54" s="1">
        <v>17213</v>
      </c>
      <c r="I54" s="1">
        <f>YEAR(Sales_Data[[#This Row],[Date]])</f>
        <v>2024</v>
      </c>
      <c r="J54" s="1" t="str">
        <f>TEXT(Sales_Data[[#This Row],[Date]],"mmmm")</f>
        <v>March</v>
      </c>
      <c r="K54" s="3">
        <f>Sales_Data[[#This Row],[Profit]]/Sales_Data[[#This Row],[Sales]]</f>
        <v>0.28884264930444853</v>
      </c>
      <c r="L54" s="1" t="str">
        <f>IF(Sales_Data[[#This Row],[Profit Margin
Profit/Sales]]&gt;0,"Profit","Loss")</f>
        <v>Profit</v>
      </c>
    </row>
    <row r="55" spans="1:12" x14ac:dyDescent="0.35">
      <c r="A55" s="1">
        <v>1054</v>
      </c>
      <c r="B55" s="1" t="s">
        <v>69</v>
      </c>
      <c r="C55" s="1" t="s">
        <v>9</v>
      </c>
      <c r="D55" s="1" t="s">
        <v>29</v>
      </c>
      <c r="E55" s="1" t="s">
        <v>41</v>
      </c>
      <c r="F55" s="1">
        <v>57200</v>
      </c>
      <c r="G55" s="1">
        <v>10</v>
      </c>
      <c r="H55" s="1">
        <v>6654</v>
      </c>
      <c r="I55" s="1">
        <f>YEAR(Sales_Data[[#This Row],[Date]])</f>
        <v>2024</v>
      </c>
      <c r="J55" s="1" t="str">
        <f>TEXT(Sales_Data[[#This Row],[Date]],"mmmm")</f>
        <v>October</v>
      </c>
      <c r="K55" s="3">
        <f>Sales_Data[[#This Row],[Profit]]/Sales_Data[[#This Row],[Sales]]</f>
        <v>0.11632867132867133</v>
      </c>
      <c r="L55" s="1" t="str">
        <f>IF(Sales_Data[[#This Row],[Profit Margin
Profit/Sales]]&gt;0,"Profit","Loss")</f>
        <v>Profit</v>
      </c>
    </row>
    <row r="56" spans="1:12" x14ac:dyDescent="0.35">
      <c r="A56" s="1">
        <v>1055</v>
      </c>
      <c r="B56" s="1" t="s">
        <v>70</v>
      </c>
      <c r="C56" s="1" t="s">
        <v>27</v>
      </c>
      <c r="D56" s="1" t="s">
        <v>29</v>
      </c>
      <c r="E56" s="1" t="s">
        <v>49</v>
      </c>
      <c r="F56" s="1">
        <v>31095</v>
      </c>
      <c r="G56" s="1">
        <v>10</v>
      </c>
      <c r="H56" s="1">
        <v>6363</v>
      </c>
      <c r="I56" s="1">
        <f>YEAR(Sales_Data[[#This Row],[Date]])</f>
        <v>2024</v>
      </c>
      <c r="J56" s="1" t="str">
        <f>TEXT(Sales_Data[[#This Row],[Date]],"mmmm")</f>
        <v>October</v>
      </c>
      <c r="K56" s="3">
        <f>Sales_Data[[#This Row],[Profit]]/Sales_Data[[#This Row],[Sales]]</f>
        <v>0.20463096960926194</v>
      </c>
      <c r="L56" s="1" t="str">
        <f>IF(Sales_Data[[#This Row],[Profit Margin
Profit/Sales]]&gt;0,"Profit","Loss")</f>
        <v>Profit</v>
      </c>
    </row>
    <row r="57" spans="1:12" x14ac:dyDescent="0.35">
      <c r="A57" s="1">
        <v>1056</v>
      </c>
      <c r="B57" s="1" t="s">
        <v>71</v>
      </c>
      <c r="C57" s="1" t="s">
        <v>9</v>
      </c>
      <c r="D57" s="1" t="s">
        <v>10</v>
      </c>
      <c r="E57" s="1" t="s">
        <v>11</v>
      </c>
      <c r="F57" s="1">
        <v>18043</v>
      </c>
      <c r="G57" s="1">
        <v>4</v>
      </c>
      <c r="H57" s="1">
        <v>696</v>
      </c>
      <c r="I57" s="1">
        <f>YEAR(Sales_Data[[#This Row],[Date]])</f>
        <v>2024</v>
      </c>
      <c r="J57" s="1" t="str">
        <f>TEXT(Sales_Data[[#This Row],[Date]],"mmmm")</f>
        <v>November</v>
      </c>
      <c r="K57" s="3">
        <f>Sales_Data[[#This Row],[Profit]]/Sales_Data[[#This Row],[Sales]]</f>
        <v>3.8574516432965694E-2</v>
      </c>
      <c r="L57" s="1" t="str">
        <f>IF(Sales_Data[[#This Row],[Profit Margin
Profit/Sales]]&gt;0,"Profit","Loss")</f>
        <v>Profit</v>
      </c>
    </row>
    <row r="58" spans="1:12" x14ac:dyDescent="0.35">
      <c r="A58" s="1">
        <v>1057</v>
      </c>
      <c r="B58" s="1" t="s">
        <v>12</v>
      </c>
      <c r="C58" s="1" t="s">
        <v>20</v>
      </c>
      <c r="D58" s="1" t="s">
        <v>15</v>
      </c>
      <c r="E58" s="1" t="s">
        <v>16</v>
      </c>
      <c r="F58" s="1">
        <v>41947</v>
      </c>
      <c r="G58" s="1">
        <v>5</v>
      </c>
      <c r="H58" s="1">
        <v>5930</v>
      </c>
      <c r="I58" s="1">
        <f>YEAR(Sales_Data[[#This Row],[Date]])</f>
        <v>2024</v>
      </c>
      <c r="J58" s="1" t="str">
        <f>TEXT(Sales_Data[[#This Row],[Date]],"mmmm")</f>
        <v>January</v>
      </c>
      <c r="K58" s="3">
        <f>Sales_Data[[#This Row],[Profit]]/Sales_Data[[#This Row],[Sales]]</f>
        <v>0.14136887024101844</v>
      </c>
      <c r="L58" s="1" t="str">
        <f>IF(Sales_Data[[#This Row],[Profit Margin
Profit/Sales]]&gt;0,"Profit","Loss")</f>
        <v>Profit</v>
      </c>
    </row>
    <row r="59" spans="1:12" x14ac:dyDescent="0.35">
      <c r="A59" s="1">
        <v>1058</v>
      </c>
      <c r="B59" s="1" t="s">
        <v>72</v>
      </c>
      <c r="C59" s="1" t="s">
        <v>27</v>
      </c>
      <c r="D59" s="1" t="s">
        <v>10</v>
      </c>
      <c r="E59" s="1" t="s">
        <v>34</v>
      </c>
      <c r="F59" s="1">
        <v>50374</v>
      </c>
      <c r="G59" s="1">
        <v>7</v>
      </c>
      <c r="H59" s="1">
        <v>7963</v>
      </c>
      <c r="I59" s="1">
        <f>YEAR(Sales_Data[[#This Row],[Date]])</f>
        <v>2024</v>
      </c>
      <c r="J59" s="1" t="str">
        <f>TEXT(Sales_Data[[#This Row],[Date]],"mmmm")</f>
        <v>October</v>
      </c>
      <c r="K59" s="3">
        <f>Sales_Data[[#This Row],[Profit]]/Sales_Data[[#This Row],[Sales]]</f>
        <v>0.15807757970381547</v>
      </c>
      <c r="L59" s="1" t="str">
        <f>IF(Sales_Data[[#This Row],[Profit Margin
Profit/Sales]]&gt;0,"Profit","Loss")</f>
        <v>Profit</v>
      </c>
    </row>
    <row r="60" spans="1:12" x14ac:dyDescent="0.35">
      <c r="A60" s="1">
        <v>1059</v>
      </c>
      <c r="B60" s="1" t="s">
        <v>73</v>
      </c>
      <c r="C60" s="1" t="s">
        <v>23</v>
      </c>
      <c r="D60" s="1" t="s">
        <v>10</v>
      </c>
      <c r="E60" s="1" t="s">
        <v>13</v>
      </c>
      <c r="F60" s="1">
        <v>36600</v>
      </c>
      <c r="G60" s="1">
        <v>6</v>
      </c>
      <c r="H60" s="1">
        <v>5943</v>
      </c>
      <c r="I60" s="1">
        <f>YEAR(Sales_Data[[#This Row],[Date]])</f>
        <v>2024</v>
      </c>
      <c r="J60" s="1" t="str">
        <f>TEXT(Sales_Data[[#This Row],[Date]],"mmmm")</f>
        <v>June</v>
      </c>
      <c r="K60" s="3">
        <f>Sales_Data[[#This Row],[Profit]]/Sales_Data[[#This Row],[Sales]]</f>
        <v>0.16237704918032786</v>
      </c>
      <c r="L60" s="1" t="str">
        <f>IF(Sales_Data[[#This Row],[Profit Margin
Profit/Sales]]&gt;0,"Profit","Loss")</f>
        <v>Profit</v>
      </c>
    </row>
    <row r="61" spans="1:12" x14ac:dyDescent="0.35">
      <c r="A61" s="1">
        <v>1060</v>
      </c>
      <c r="B61" s="1" t="s">
        <v>74</v>
      </c>
      <c r="C61" s="1" t="s">
        <v>9</v>
      </c>
      <c r="D61" s="1" t="s">
        <v>15</v>
      </c>
      <c r="E61" s="1" t="s">
        <v>16</v>
      </c>
      <c r="F61" s="1">
        <v>56109</v>
      </c>
      <c r="G61" s="1">
        <v>9</v>
      </c>
      <c r="H61" s="1">
        <v>9554</v>
      </c>
      <c r="I61" s="1">
        <f>YEAR(Sales_Data[[#This Row],[Date]])</f>
        <v>2024</v>
      </c>
      <c r="J61" s="1" t="str">
        <f>TEXT(Sales_Data[[#This Row],[Date]],"mmmm")</f>
        <v>March</v>
      </c>
      <c r="K61" s="3">
        <f>Sales_Data[[#This Row],[Profit]]/Sales_Data[[#This Row],[Sales]]</f>
        <v>0.17027571334367037</v>
      </c>
      <c r="L61" s="1" t="str">
        <f>IF(Sales_Data[[#This Row],[Profit Margin
Profit/Sales]]&gt;0,"Profit","Loss")</f>
        <v>Profit</v>
      </c>
    </row>
    <row r="62" spans="1:12" x14ac:dyDescent="0.35">
      <c r="A62" s="1">
        <v>1061</v>
      </c>
      <c r="B62" s="1" t="s">
        <v>75</v>
      </c>
      <c r="C62" s="1" t="s">
        <v>9</v>
      </c>
      <c r="D62" s="1" t="s">
        <v>10</v>
      </c>
      <c r="E62" s="1" t="s">
        <v>11</v>
      </c>
      <c r="F62" s="1">
        <v>3043</v>
      </c>
      <c r="G62" s="1">
        <v>5</v>
      </c>
      <c r="H62" s="1">
        <v>659</v>
      </c>
      <c r="I62" s="1">
        <f>YEAR(Sales_Data[[#This Row],[Date]])</f>
        <v>2024</v>
      </c>
      <c r="J62" s="1" t="str">
        <f>TEXT(Sales_Data[[#This Row],[Date]],"mmmm")</f>
        <v>October</v>
      </c>
      <c r="K62" s="3">
        <f>Sales_Data[[#This Row],[Profit]]/Sales_Data[[#This Row],[Sales]]</f>
        <v>0.21656260269470917</v>
      </c>
      <c r="L62" s="1" t="str">
        <f>IF(Sales_Data[[#This Row],[Profit Margin
Profit/Sales]]&gt;0,"Profit","Loss")</f>
        <v>Profit</v>
      </c>
    </row>
    <row r="63" spans="1:12" x14ac:dyDescent="0.35">
      <c r="A63" s="1">
        <v>1062</v>
      </c>
      <c r="B63" s="1" t="s">
        <v>76</v>
      </c>
      <c r="C63" s="1" t="s">
        <v>27</v>
      </c>
      <c r="D63" s="1" t="s">
        <v>15</v>
      </c>
      <c r="E63" s="1" t="s">
        <v>21</v>
      </c>
      <c r="F63" s="1">
        <v>38073</v>
      </c>
      <c r="G63" s="1">
        <v>2</v>
      </c>
      <c r="H63" s="1">
        <v>5234</v>
      </c>
      <c r="I63" s="1">
        <f>YEAR(Sales_Data[[#This Row],[Date]])</f>
        <v>2024</v>
      </c>
      <c r="J63" s="1" t="str">
        <f>TEXT(Sales_Data[[#This Row],[Date]],"mmmm")</f>
        <v>July</v>
      </c>
      <c r="K63" s="3">
        <f>Sales_Data[[#This Row],[Profit]]/Sales_Data[[#This Row],[Sales]]</f>
        <v>0.13747274971764767</v>
      </c>
      <c r="L63" s="1" t="str">
        <f>IF(Sales_Data[[#This Row],[Profit Margin
Profit/Sales]]&gt;0,"Profit","Loss")</f>
        <v>Profit</v>
      </c>
    </row>
    <row r="64" spans="1:12" x14ac:dyDescent="0.35">
      <c r="A64" s="1">
        <v>1063</v>
      </c>
      <c r="B64" s="1" t="s">
        <v>77</v>
      </c>
      <c r="C64" s="1" t="s">
        <v>23</v>
      </c>
      <c r="D64" s="1" t="s">
        <v>15</v>
      </c>
      <c r="E64" s="1" t="s">
        <v>18</v>
      </c>
      <c r="F64" s="1">
        <v>29594</v>
      </c>
      <c r="G64" s="1">
        <v>3</v>
      </c>
      <c r="H64" s="1">
        <v>7300</v>
      </c>
      <c r="I64" s="1">
        <f>YEAR(Sales_Data[[#This Row],[Date]])</f>
        <v>2024</v>
      </c>
      <c r="J64" s="1" t="str">
        <f>TEXT(Sales_Data[[#This Row],[Date]],"mmmm")</f>
        <v>February</v>
      </c>
      <c r="K64" s="3">
        <f>Sales_Data[[#This Row],[Profit]]/Sales_Data[[#This Row],[Sales]]</f>
        <v>0.24667162262620801</v>
      </c>
      <c r="L64" s="1" t="str">
        <f>IF(Sales_Data[[#This Row],[Profit Margin
Profit/Sales]]&gt;0,"Profit","Loss")</f>
        <v>Profit</v>
      </c>
    </row>
    <row r="65" spans="1:12" x14ac:dyDescent="0.35">
      <c r="A65" s="1">
        <v>1064</v>
      </c>
      <c r="B65" s="1" t="s">
        <v>78</v>
      </c>
      <c r="C65" s="1" t="s">
        <v>20</v>
      </c>
      <c r="D65" s="1" t="s">
        <v>29</v>
      </c>
      <c r="E65" s="1" t="s">
        <v>30</v>
      </c>
      <c r="F65" s="1">
        <v>21325</v>
      </c>
      <c r="G65" s="1">
        <v>4</v>
      </c>
      <c r="H65" s="1">
        <v>2738</v>
      </c>
      <c r="I65" s="1">
        <f>YEAR(Sales_Data[[#This Row],[Date]])</f>
        <v>2024</v>
      </c>
      <c r="J65" s="1" t="str">
        <f>TEXT(Sales_Data[[#This Row],[Date]],"mmmm")</f>
        <v>March</v>
      </c>
      <c r="K65" s="3">
        <f>Sales_Data[[#This Row],[Profit]]/Sales_Data[[#This Row],[Sales]]</f>
        <v>0.1283939038686987</v>
      </c>
      <c r="L65" s="1" t="str">
        <f>IF(Sales_Data[[#This Row],[Profit Margin
Profit/Sales]]&gt;0,"Profit","Loss")</f>
        <v>Profit</v>
      </c>
    </row>
    <row r="66" spans="1:12" x14ac:dyDescent="0.35">
      <c r="A66" s="1">
        <v>1065</v>
      </c>
      <c r="B66" s="1" t="s">
        <v>79</v>
      </c>
      <c r="C66" s="1" t="s">
        <v>9</v>
      </c>
      <c r="D66" s="1" t="s">
        <v>29</v>
      </c>
      <c r="E66" s="1" t="s">
        <v>30</v>
      </c>
      <c r="F66" s="1">
        <v>11666</v>
      </c>
      <c r="G66" s="1">
        <v>3</v>
      </c>
      <c r="H66" s="1">
        <v>804</v>
      </c>
      <c r="I66" s="1">
        <f>YEAR(Sales_Data[[#This Row],[Date]])</f>
        <v>2024</v>
      </c>
      <c r="J66" s="1" t="str">
        <f>TEXT(Sales_Data[[#This Row],[Date]],"mmmm")</f>
        <v>August</v>
      </c>
      <c r="K66" s="3">
        <f>Sales_Data[[#This Row],[Profit]]/Sales_Data[[#This Row],[Sales]]</f>
        <v>6.8918223898508491E-2</v>
      </c>
      <c r="L66" s="1" t="str">
        <f>IF(Sales_Data[[#This Row],[Profit Margin
Profit/Sales]]&gt;0,"Profit","Loss")</f>
        <v>Profit</v>
      </c>
    </row>
    <row r="67" spans="1:12" x14ac:dyDescent="0.35">
      <c r="A67" s="1">
        <v>1066</v>
      </c>
      <c r="B67" s="1" t="s">
        <v>80</v>
      </c>
      <c r="C67" s="1" t="s">
        <v>27</v>
      </c>
      <c r="D67" s="1" t="s">
        <v>10</v>
      </c>
      <c r="E67" s="1" t="s">
        <v>11</v>
      </c>
      <c r="F67" s="1">
        <v>13450</v>
      </c>
      <c r="G67" s="1">
        <v>7</v>
      </c>
      <c r="H67" s="1">
        <v>1993</v>
      </c>
      <c r="I67" s="1">
        <f>YEAR(Sales_Data[[#This Row],[Date]])</f>
        <v>2024</v>
      </c>
      <c r="J67" s="1" t="str">
        <f>TEXT(Sales_Data[[#This Row],[Date]],"mmmm")</f>
        <v>September</v>
      </c>
      <c r="K67" s="3">
        <f>Sales_Data[[#This Row],[Profit]]/Sales_Data[[#This Row],[Sales]]</f>
        <v>0.14817843866171004</v>
      </c>
      <c r="L67" s="1" t="str">
        <f>IF(Sales_Data[[#This Row],[Profit Margin
Profit/Sales]]&gt;0,"Profit","Loss")</f>
        <v>Profit</v>
      </c>
    </row>
    <row r="68" spans="1:12" x14ac:dyDescent="0.35">
      <c r="A68" s="1">
        <v>1067</v>
      </c>
      <c r="B68" s="1" t="s">
        <v>81</v>
      </c>
      <c r="C68" s="1" t="s">
        <v>20</v>
      </c>
      <c r="D68" s="1" t="s">
        <v>29</v>
      </c>
      <c r="E68" s="1" t="s">
        <v>30</v>
      </c>
      <c r="F68" s="1">
        <v>30731</v>
      </c>
      <c r="G68" s="1">
        <v>8</v>
      </c>
      <c r="H68" s="1">
        <v>5194</v>
      </c>
      <c r="I68" s="1">
        <f>YEAR(Sales_Data[[#This Row],[Date]])</f>
        <v>2024</v>
      </c>
      <c r="J68" s="1" t="str">
        <f>TEXT(Sales_Data[[#This Row],[Date]],"mmmm")</f>
        <v>January</v>
      </c>
      <c r="K68" s="3">
        <f>Sales_Data[[#This Row],[Profit]]/Sales_Data[[#This Row],[Sales]]</f>
        <v>0.1690150011389151</v>
      </c>
      <c r="L68" s="1" t="str">
        <f>IF(Sales_Data[[#This Row],[Profit Margin
Profit/Sales]]&gt;0,"Profit","Loss")</f>
        <v>Profit</v>
      </c>
    </row>
    <row r="69" spans="1:12" x14ac:dyDescent="0.35">
      <c r="A69" s="1">
        <v>1068</v>
      </c>
      <c r="B69" s="1" t="s">
        <v>60</v>
      </c>
      <c r="C69" s="1" t="s">
        <v>23</v>
      </c>
      <c r="D69" s="1" t="s">
        <v>15</v>
      </c>
      <c r="E69" s="1" t="s">
        <v>16</v>
      </c>
      <c r="F69" s="1">
        <v>43936</v>
      </c>
      <c r="G69" s="1">
        <v>9</v>
      </c>
      <c r="H69" s="1">
        <v>1959</v>
      </c>
      <c r="I69" s="1">
        <f>YEAR(Sales_Data[[#This Row],[Date]])</f>
        <v>2024</v>
      </c>
      <c r="J69" s="1" t="str">
        <f>TEXT(Sales_Data[[#This Row],[Date]],"mmmm")</f>
        <v>July</v>
      </c>
      <c r="K69" s="3">
        <f>Sales_Data[[#This Row],[Profit]]/Sales_Data[[#This Row],[Sales]]</f>
        <v>4.4587581937363438E-2</v>
      </c>
      <c r="L69" s="1" t="str">
        <f>IF(Sales_Data[[#This Row],[Profit Margin
Profit/Sales]]&gt;0,"Profit","Loss")</f>
        <v>Profit</v>
      </c>
    </row>
    <row r="70" spans="1:12" x14ac:dyDescent="0.35">
      <c r="A70" s="1">
        <v>1069</v>
      </c>
      <c r="B70" s="1" t="s">
        <v>82</v>
      </c>
      <c r="C70" s="1" t="s">
        <v>27</v>
      </c>
      <c r="D70" s="1" t="s">
        <v>29</v>
      </c>
      <c r="E70" s="1" t="s">
        <v>41</v>
      </c>
      <c r="F70" s="1">
        <v>42899</v>
      </c>
      <c r="G70" s="1">
        <v>9</v>
      </c>
      <c r="H70" s="1">
        <v>8195</v>
      </c>
      <c r="I70" s="1">
        <f>YEAR(Sales_Data[[#This Row],[Date]])</f>
        <v>2024</v>
      </c>
      <c r="J70" s="1" t="str">
        <f>TEXT(Sales_Data[[#This Row],[Date]],"mmmm")</f>
        <v>June</v>
      </c>
      <c r="K70" s="3">
        <f>Sales_Data[[#This Row],[Profit]]/Sales_Data[[#This Row],[Sales]]</f>
        <v>0.19103009394158371</v>
      </c>
      <c r="L70" s="1" t="str">
        <f>IF(Sales_Data[[#This Row],[Profit Margin
Profit/Sales]]&gt;0,"Profit","Loss")</f>
        <v>Profit</v>
      </c>
    </row>
    <row r="71" spans="1:12" x14ac:dyDescent="0.35">
      <c r="A71" s="1">
        <v>1070</v>
      </c>
      <c r="B71" s="1" t="s">
        <v>71</v>
      </c>
      <c r="C71" s="1" t="s">
        <v>27</v>
      </c>
      <c r="D71" s="1" t="s">
        <v>15</v>
      </c>
      <c r="E71" s="1" t="s">
        <v>16</v>
      </c>
      <c r="F71" s="1">
        <v>12847</v>
      </c>
      <c r="G71" s="1">
        <v>10</v>
      </c>
      <c r="H71" s="1">
        <v>1401</v>
      </c>
      <c r="I71" s="1">
        <f>YEAR(Sales_Data[[#This Row],[Date]])</f>
        <v>2024</v>
      </c>
      <c r="J71" s="1" t="str">
        <f>TEXT(Sales_Data[[#This Row],[Date]],"mmmm")</f>
        <v>November</v>
      </c>
      <c r="K71" s="3">
        <f>Sales_Data[[#This Row],[Profit]]/Sales_Data[[#This Row],[Sales]]</f>
        <v>0.10905269712773411</v>
      </c>
      <c r="L71" s="1" t="str">
        <f>IF(Sales_Data[[#This Row],[Profit Margin
Profit/Sales]]&gt;0,"Profit","Loss")</f>
        <v>Profit</v>
      </c>
    </row>
    <row r="72" spans="1:12" x14ac:dyDescent="0.35">
      <c r="A72" s="1">
        <v>1071</v>
      </c>
      <c r="B72" s="1" t="s">
        <v>83</v>
      </c>
      <c r="C72" s="1" t="s">
        <v>9</v>
      </c>
      <c r="D72" s="1" t="s">
        <v>15</v>
      </c>
      <c r="E72" s="1" t="s">
        <v>18</v>
      </c>
      <c r="F72" s="1">
        <v>37991</v>
      </c>
      <c r="G72" s="1">
        <v>4</v>
      </c>
      <c r="H72" s="1">
        <v>4435</v>
      </c>
      <c r="I72" s="1">
        <f>YEAR(Sales_Data[[#This Row],[Date]])</f>
        <v>2024</v>
      </c>
      <c r="J72" s="1" t="str">
        <f>TEXT(Sales_Data[[#This Row],[Date]],"mmmm")</f>
        <v>June</v>
      </c>
      <c r="K72" s="3">
        <f>Sales_Data[[#This Row],[Profit]]/Sales_Data[[#This Row],[Sales]]</f>
        <v>0.116738174830881</v>
      </c>
      <c r="L72" s="1" t="str">
        <f>IF(Sales_Data[[#This Row],[Profit Margin
Profit/Sales]]&gt;0,"Profit","Loss")</f>
        <v>Profit</v>
      </c>
    </row>
    <row r="73" spans="1:12" x14ac:dyDescent="0.35">
      <c r="A73" s="1">
        <v>1072</v>
      </c>
      <c r="B73" s="1" t="s">
        <v>84</v>
      </c>
      <c r="C73" s="1" t="s">
        <v>23</v>
      </c>
      <c r="D73" s="1" t="s">
        <v>29</v>
      </c>
      <c r="E73" s="1" t="s">
        <v>41</v>
      </c>
      <c r="F73" s="1">
        <v>55466</v>
      </c>
      <c r="G73" s="1">
        <v>1</v>
      </c>
      <c r="H73" s="1">
        <v>9564</v>
      </c>
      <c r="I73" s="1">
        <f>YEAR(Sales_Data[[#This Row],[Date]])</f>
        <v>2024</v>
      </c>
      <c r="J73" s="1" t="str">
        <f>TEXT(Sales_Data[[#This Row],[Date]],"mmmm")</f>
        <v>July</v>
      </c>
      <c r="K73" s="3">
        <f>Sales_Data[[#This Row],[Profit]]/Sales_Data[[#This Row],[Sales]]</f>
        <v>0.17242995709083042</v>
      </c>
      <c r="L73" s="1" t="str">
        <f>IF(Sales_Data[[#This Row],[Profit Margin
Profit/Sales]]&gt;0,"Profit","Loss")</f>
        <v>Profit</v>
      </c>
    </row>
    <row r="74" spans="1:12" x14ac:dyDescent="0.35">
      <c r="A74" s="1">
        <v>1073</v>
      </c>
      <c r="B74" s="1" t="s">
        <v>85</v>
      </c>
      <c r="C74" s="1" t="s">
        <v>27</v>
      </c>
      <c r="D74" s="1" t="s">
        <v>29</v>
      </c>
      <c r="E74" s="1" t="s">
        <v>41</v>
      </c>
      <c r="F74" s="1">
        <v>16513</v>
      </c>
      <c r="G74" s="1">
        <v>10</v>
      </c>
      <c r="H74" s="1">
        <v>833</v>
      </c>
      <c r="I74" s="1">
        <f>YEAR(Sales_Data[[#This Row],[Date]])</f>
        <v>2024</v>
      </c>
      <c r="J74" s="1" t="str">
        <f>TEXT(Sales_Data[[#This Row],[Date]],"mmmm")</f>
        <v>September</v>
      </c>
      <c r="K74" s="3">
        <f>Sales_Data[[#This Row],[Profit]]/Sales_Data[[#This Row],[Sales]]</f>
        <v>5.0445103857566766E-2</v>
      </c>
      <c r="L74" s="1" t="str">
        <f>IF(Sales_Data[[#This Row],[Profit Margin
Profit/Sales]]&gt;0,"Profit","Loss")</f>
        <v>Profit</v>
      </c>
    </row>
    <row r="75" spans="1:12" x14ac:dyDescent="0.35">
      <c r="A75" s="1">
        <v>1074</v>
      </c>
      <c r="B75" s="1" t="s">
        <v>67</v>
      </c>
      <c r="C75" s="1" t="s">
        <v>20</v>
      </c>
      <c r="D75" s="1" t="s">
        <v>10</v>
      </c>
      <c r="E75" s="1" t="s">
        <v>11</v>
      </c>
      <c r="F75" s="1">
        <v>57507</v>
      </c>
      <c r="G75" s="1">
        <v>5</v>
      </c>
      <c r="H75" s="1">
        <v>1569</v>
      </c>
      <c r="I75" s="1">
        <f>YEAR(Sales_Data[[#This Row],[Date]])</f>
        <v>2024</v>
      </c>
      <c r="J75" s="1" t="str">
        <f>TEXT(Sales_Data[[#This Row],[Date]],"mmmm")</f>
        <v>August</v>
      </c>
      <c r="K75" s="3">
        <f>Sales_Data[[#This Row],[Profit]]/Sales_Data[[#This Row],[Sales]]</f>
        <v>2.728363503573478E-2</v>
      </c>
      <c r="L75" s="1" t="str">
        <f>IF(Sales_Data[[#This Row],[Profit Margin
Profit/Sales]]&gt;0,"Profit","Loss")</f>
        <v>Profit</v>
      </c>
    </row>
    <row r="76" spans="1:12" x14ac:dyDescent="0.35">
      <c r="A76" s="1">
        <v>1075</v>
      </c>
      <c r="B76" s="1" t="s">
        <v>86</v>
      </c>
      <c r="C76" s="1" t="s">
        <v>20</v>
      </c>
      <c r="D76" s="1" t="s">
        <v>10</v>
      </c>
      <c r="E76" s="1" t="s">
        <v>11</v>
      </c>
      <c r="F76" s="1">
        <v>50471</v>
      </c>
      <c r="G76" s="1">
        <v>9</v>
      </c>
      <c r="H76" s="1">
        <v>13862</v>
      </c>
      <c r="I76" s="1">
        <f>YEAR(Sales_Data[[#This Row],[Date]])</f>
        <v>2024</v>
      </c>
      <c r="J76" s="1" t="str">
        <f>TEXT(Sales_Data[[#This Row],[Date]],"mmmm")</f>
        <v>April</v>
      </c>
      <c r="K76" s="3">
        <f>Sales_Data[[#This Row],[Profit]]/Sales_Data[[#This Row],[Sales]]</f>
        <v>0.27465277089813955</v>
      </c>
      <c r="L76" s="1" t="str">
        <f>IF(Sales_Data[[#This Row],[Profit Margin
Profit/Sales]]&gt;0,"Profit","Loss")</f>
        <v>Profit</v>
      </c>
    </row>
    <row r="77" spans="1:12" x14ac:dyDescent="0.35">
      <c r="A77" s="1">
        <v>1076</v>
      </c>
      <c r="B77" s="1" t="s">
        <v>87</v>
      </c>
      <c r="C77" s="1" t="s">
        <v>27</v>
      </c>
      <c r="D77" s="1" t="s">
        <v>29</v>
      </c>
      <c r="E77" s="1" t="s">
        <v>49</v>
      </c>
      <c r="F77" s="1">
        <v>36963</v>
      </c>
      <c r="G77" s="1">
        <v>3</v>
      </c>
      <c r="H77" s="1">
        <v>4587</v>
      </c>
      <c r="I77" s="1">
        <f>YEAR(Sales_Data[[#This Row],[Date]])</f>
        <v>2024</v>
      </c>
      <c r="J77" s="1" t="str">
        <f>TEXT(Sales_Data[[#This Row],[Date]],"mmmm")</f>
        <v>May</v>
      </c>
      <c r="K77" s="3">
        <f>Sales_Data[[#This Row],[Profit]]/Sales_Data[[#This Row],[Sales]]</f>
        <v>0.12409707004301598</v>
      </c>
      <c r="L77" s="1" t="str">
        <f>IF(Sales_Data[[#This Row],[Profit Margin
Profit/Sales]]&gt;0,"Profit","Loss")</f>
        <v>Profit</v>
      </c>
    </row>
    <row r="78" spans="1:12" x14ac:dyDescent="0.35">
      <c r="A78" s="1">
        <v>1077</v>
      </c>
      <c r="B78" s="1" t="s">
        <v>48</v>
      </c>
      <c r="C78" s="1" t="s">
        <v>9</v>
      </c>
      <c r="D78" s="1" t="s">
        <v>10</v>
      </c>
      <c r="E78" s="1" t="s">
        <v>34</v>
      </c>
      <c r="F78" s="1">
        <v>16669</v>
      </c>
      <c r="G78" s="1">
        <v>7</v>
      </c>
      <c r="H78" s="1">
        <v>845</v>
      </c>
      <c r="I78" s="1">
        <f>YEAR(Sales_Data[[#This Row],[Date]])</f>
        <v>2024</v>
      </c>
      <c r="J78" s="1" t="str">
        <f>TEXT(Sales_Data[[#This Row],[Date]],"mmmm")</f>
        <v>January</v>
      </c>
      <c r="K78" s="3">
        <f>Sales_Data[[#This Row],[Profit]]/Sales_Data[[#This Row],[Sales]]</f>
        <v>5.0692902993580896E-2</v>
      </c>
      <c r="L78" s="1" t="str">
        <f>IF(Sales_Data[[#This Row],[Profit Margin
Profit/Sales]]&gt;0,"Profit","Loss")</f>
        <v>Profit</v>
      </c>
    </row>
    <row r="79" spans="1:12" x14ac:dyDescent="0.35">
      <c r="A79" s="1">
        <v>1078</v>
      </c>
      <c r="B79" s="1" t="s">
        <v>73</v>
      </c>
      <c r="C79" s="1" t="s">
        <v>27</v>
      </c>
      <c r="D79" s="1" t="s">
        <v>15</v>
      </c>
      <c r="E79" s="1" t="s">
        <v>18</v>
      </c>
      <c r="F79" s="1">
        <v>55660</v>
      </c>
      <c r="G79" s="1">
        <v>9</v>
      </c>
      <c r="H79" s="1">
        <v>1383</v>
      </c>
      <c r="I79" s="1">
        <f>YEAR(Sales_Data[[#This Row],[Date]])</f>
        <v>2024</v>
      </c>
      <c r="J79" s="1" t="str">
        <f>TEXT(Sales_Data[[#This Row],[Date]],"mmmm")</f>
        <v>June</v>
      </c>
      <c r="K79" s="3">
        <f>Sales_Data[[#This Row],[Profit]]/Sales_Data[[#This Row],[Sales]]</f>
        <v>2.4847287100251528E-2</v>
      </c>
      <c r="L79" s="1" t="str">
        <f>IF(Sales_Data[[#This Row],[Profit Margin
Profit/Sales]]&gt;0,"Profit","Loss")</f>
        <v>Profit</v>
      </c>
    </row>
    <row r="80" spans="1:12" x14ac:dyDescent="0.35">
      <c r="A80" s="1">
        <v>1079</v>
      </c>
      <c r="B80" s="1" t="s">
        <v>12</v>
      </c>
      <c r="C80" s="1" t="s">
        <v>23</v>
      </c>
      <c r="D80" s="1" t="s">
        <v>29</v>
      </c>
      <c r="E80" s="1" t="s">
        <v>30</v>
      </c>
      <c r="F80" s="1">
        <v>44864</v>
      </c>
      <c r="G80" s="1">
        <v>2</v>
      </c>
      <c r="H80" s="1">
        <v>4331</v>
      </c>
      <c r="I80" s="1">
        <f>YEAR(Sales_Data[[#This Row],[Date]])</f>
        <v>2024</v>
      </c>
      <c r="J80" s="1" t="str">
        <f>TEXT(Sales_Data[[#This Row],[Date]],"mmmm")</f>
        <v>January</v>
      </c>
      <c r="K80" s="3">
        <f>Sales_Data[[#This Row],[Profit]]/Sales_Data[[#This Row],[Sales]]</f>
        <v>9.6536198288159777E-2</v>
      </c>
      <c r="L80" s="1" t="str">
        <f>IF(Sales_Data[[#This Row],[Profit Margin
Profit/Sales]]&gt;0,"Profit","Loss")</f>
        <v>Profit</v>
      </c>
    </row>
    <row r="81" spans="1:12" x14ac:dyDescent="0.35">
      <c r="A81" s="1">
        <v>1080</v>
      </c>
      <c r="B81" s="1" t="s">
        <v>88</v>
      </c>
      <c r="C81" s="1" t="s">
        <v>27</v>
      </c>
      <c r="D81" s="1" t="s">
        <v>10</v>
      </c>
      <c r="E81" s="1" t="s">
        <v>34</v>
      </c>
      <c r="F81" s="1">
        <v>22084</v>
      </c>
      <c r="G81" s="1">
        <v>1</v>
      </c>
      <c r="H81" s="1">
        <v>4626</v>
      </c>
      <c r="I81" s="1">
        <f>YEAR(Sales_Data[[#This Row],[Date]])</f>
        <v>2024</v>
      </c>
      <c r="J81" s="1" t="str">
        <f>TEXT(Sales_Data[[#This Row],[Date]],"mmmm")</f>
        <v>July</v>
      </c>
      <c r="K81" s="3">
        <f>Sales_Data[[#This Row],[Profit]]/Sales_Data[[#This Row],[Sales]]</f>
        <v>0.20947292157217895</v>
      </c>
      <c r="L81" s="1" t="str">
        <f>IF(Sales_Data[[#This Row],[Profit Margin
Profit/Sales]]&gt;0,"Profit","Loss")</f>
        <v>Profit</v>
      </c>
    </row>
    <row r="82" spans="1:12" x14ac:dyDescent="0.35">
      <c r="A82" s="1">
        <v>1081</v>
      </c>
      <c r="B82" s="1" t="s">
        <v>89</v>
      </c>
      <c r="C82" s="1" t="s">
        <v>23</v>
      </c>
      <c r="D82" s="1" t="s">
        <v>29</v>
      </c>
      <c r="E82" s="1" t="s">
        <v>49</v>
      </c>
      <c r="F82" s="1">
        <v>31274</v>
      </c>
      <c r="G82" s="1">
        <v>7</v>
      </c>
      <c r="H82" s="1">
        <v>8696</v>
      </c>
      <c r="I82" s="1">
        <f>YEAR(Sales_Data[[#This Row],[Date]])</f>
        <v>2024</v>
      </c>
      <c r="J82" s="1" t="str">
        <f>TEXT(Sales_Data[[#This Row],[Date]],"mmmm")</f>
        <v>September</v>
      </c>
      <c r="K82" s="3">
        <f>Sales_Data[[#This Row],[Profit]]/Sales_Data[[#This Row],[Sales]]</f>
        <v>0.27805845110954786</v>
      </c>
      <c r="L82" s="1" t="str">
        <f>IF(Sales_Data[[#This Row],[Profit Margin
Profit/Sales]]&gt;0,"Profit","Loss")</f>
        <v>Profit</v>
      </c>
    </row>
    <row r="83" spans="1:12" x14ac:dyDescent="0.35">
      <c r="A83" s="1">
        <v>1082</v>
      </c>
      <c r="B83" s="1" t="s">
        <v>90</v>
      </c>
      <c r="C83" s="1" t="s">
        <v>20</v>
      </c>
      <c r="D83" s="1" t="s">
        <v>10</v>
      </c>
      <c r="E83" s="1" t="s">
        <v>13</v>
      </c>
      <c r="F83" s="1">
        <v>2685</v>
      </c>
      <c r="G83" s="1">
        <v>10</v>
      </c>
      <c r="H83" s="1">
        <v>206</v>
      </c>
      <c r="I83" s="1">
        <f>YEAR(Sales_Data[[#This Row],[Date]])</f>
        <v>2024</v>
      </c>
      <c r="J83" s="1" t="str">
        <f>TEXT(Sales_Data[[#This Row],[Date]],"mmmm")</f>
        <v>February</v>
      </c>
      <c r="K83" s="3">
        <f>Sales_Data[[#This Row],[Profit]]/Sales_Data[[#This Row],[Sales]]</f>
        <v>7.6722532588454379E-2</v>
      </c>
      <c r="L83" s="1" t="str">
        <f>IF(Sales_Data[[#This Row],[Profit Margin
Profit/Sales]]&gt;0,"Profit","Loss")</f>
        <v>Profit</v>
      </c>
    </row>
    <row r="84" spans="1:12" x14ac:dyDescent="0.35">
      <c r="A84" s="1">
        <v>1083</v>
      </c>
      <c r="B84" s="1" t="s">
        <v>91</v>
      </c>
      <c r="C84" s="1" t="s">
        <v>27</v>
      </c>
      <c r="D84" s="1" t="s">
        <v>29</v>
      </c>
      <c r="E84" s="1" t="s">
        <v>41</v>
      </c>
      <c r="F84" s="1">
        <v>31165</v>
      </c>
      <c r="G84" s="1">
        <v>7</v>
      </c>
      <c r="H84" s="1">
        <v>9278</v>
      </c>
      <c r="I84" s="1">
        <f>YEAR(Sales_Data[[#This Row],[Date]])</f>
        <v>2024</v>
      </c>
      <c r="J84" s="1" t="str">
        <f>TEXT(Sales_Data[[#This Row],[Date]],"mmmm")</f>
        <v>February</v>
      </c>
      <c r="K84" s="3">
        <f>Sales_Data[[#This Row],[Profit]]/Sales_Data[[#This Row],[Sales]]</f>
        <v>0.29770575966629231</v>
      </c>
      <c r="L84" s="1" t="str">
        <f>IF(Sales_Data[[#This Row],[Profit Margin
Profit/Sales]]&gt;0,"Profit","Loss")</f>
        <v>Profit</v>
      </c>
    </row>
    <row r="85" spans="1:12" x14ac:dyDescent="0.35">
      <c r="A85" s="1">
        <v>1084</v>
      </c>
      <c r="B85" s="1" t="s">
        <v>92</v>
      </c>
      <c r="C85" s="1" t="s">
        <v>20</v>
      </c>
      <c r="D85" s="1" t="s">
        <v>15</v>
      </c>
      <c r="E85" s="1" t="s">
        <v>18</v>
      </c>
      <c r="F85" s="1">
        <v>31916</v>
      </c>
      <c r="G85" s="1">
        <v>6</v>
      </c>
      <c r="H85" s="1">
        <v>7669</v>
      </c>
      <c r="I85" s="1">
        <f>YEAR(Sales_Data[[#This Row],[Date]])</f>
        <v>2024</v>
      </c>
      <c r="J85" s="1" t="str">
        <f>TEXT(Sales_Data[[#This Row],[Date]],"mmmm")</f>
        <v>April</v>
      </c>
      <c r="K85" s="3">
        <f>Sales_Data[[#This Row],[Profit]]/Sales_Data[[#This Row],[Sales]]</f>
        <v>0.2402870033838827</v>
      </c>
      <c r="L85" s="1" t="str">
        <f>IF(Sales_Data[[#This Row],[Profit Margin
Profit/Sales]]&gt;0,"Profit","Loss")</f>
        <v>Profit</v>
      </c>
    </row>
    <row r="86" spans="1:12" x14ac:dyDescent="0.35">
      <c r="A86" s="1">
        <v>1085</v>
      </c>
      <c r="B86" s="1" t="s">
        <v>33</v>
      </c>
      <c r="C86" s="1" t="s">
        <v>27</v>
      </c>
      <c r="D86" s="1" t="s">
        <v>29</v>
      </c>
      <c r="E86" s="1" t="s">
        <v>49</v>
      </c>
      <c r="F86" s="1">
        <v>3851</v>
      </c>
      <c r="G86" s="1">
        <v>1</v>
      </c>
      <c r="H86" s="1">
        <v>1146</v>
      </c>
      <c r="I86" s="1">
        <f>YEAR(Sales_Data[[#This Row],[Date]])</f>
        <v>2024</v>
      </c>
      <c r="J86" s="1" t="str">
        <f>TEXT(Sales_Data[[#This Row],[Date]],"mmmm")</f>
        <v>February</v>
      </c>
      <c r="K86" s="3">
        <f>Sales_Data[[#This Row],[Profit]]/Sales_Data[[#This Row],[Sales]]</f>
        <v>0.297585042846014</v>
      </c>
      <c r="L86" s="1" t="str">
        <f>IF(Sales_Data[[#This Row],[Profit Margin
Profit/Sales]]&gt;0,"Profit","Loss")</f>
        <v>Profit</v>
      </c>
    </row>
    <row r="87" spans="1:12" x14ac:dyDescent="0.35">
      <c r="A87" s="1">
        <v>1086</v>
      </c>
      <c r="B87" s="1" t="s">
        <v>93</v>
      </c>
      <c r="C87" s="1" t="s">
        <v>23</v>
      </c>
      <c r="D87" s="1" t="s">
        <v>15</v>
      </c>
      <c r="E87" s="1" t="s">
        <v>16</v>
      </c>
      <c r="F87" s="1">
        <v>56668</v>
      </c>
      <c r="G87" s="1">
        <v>1</v>
      </c>
      <c r="H87" s="1">
        <v>11721</v>
      </c>
      <c r="I87" s="1">
        <f>YEAR(Sales_Data[[#This Row],[Date]])</f>
        <v>2024</v>
      </c>
      <c r="J87" s="1" t="str">
        <f>TEXT(Sales_Data[[#This Row],[Date]],"mmmm")</f>
        <v>June</v>
      </c>
      <c r="K87" s="3">
        <f>Sales_Data[[#This Row],[Profit]]/Sales_Data[[#This Row],[Sales]]</f>
        <v>0.20683630973388861</v>
      </c>
      <c r="L87" s="1" t="str">
        <f>IF(Sales_Data[[#This Row],[Profit Margin
Profit/Sales]]&gt;0,"Profit","Loss")</f>
        <v>Profit</v>
      </c>
    </row>
    <row r="88" spans="1:12" x14ac:dyDescent="0.35">
      <c r="A88" s="1">
        <v>1087</v>
      </c>
      <c r="B88" s="1" t="s">
        <v>94</v>
      </c>
      <c r="C88" s="1" t="s">
        <v>9</v>
      </c>
      <c r="D88" s="1" t="s">
        <v>10</v>
      </c>
      <c r="E88" s="1" t="s">
        <v>13</v>
      </c>
      <c r="F88" s="1">
        <v>45137</v>
      </c>
      <c r="G88" s="1">
        <v>5</v>
      </c>
      <c r="H88" s="1">
        <v>4801</v>
      </c>
      <c r="I88" s="1">
        <f>YEAR(Sales_Data[[#This Row],[Date]])</f>
        <v>2024</v>
      </c>
      <c r="J88" s="1" t="str">
        <f>TEXT(Sales_Data[[#This Row],[Date]],"mmmm")</f>
        <v>June</v>
      </c>
      <c r="K88" s="3">
        <f>Sales_Data[[#This Row],[Profit]]/Sales_Data[[#This Row],[Sales]]</f>
        <v>0.10636506635354587</v>
      </c>
      <c r="L88" s="1" t="str">
        <f>IF(Sales_Data[[#This Row],[Profit Margin
Profit/Sales]]&gt;0,"Profit","Loss")</f>
        <v>Profit</v>
      </c>
    </row>
    <row r="89" spans="1:12" x14ac:dyDescent="0.35">
      <c r="A89" s="1">
        <v>1088</v>
      </c>
      <c r="B89" s="1" t="s">
        <v>95</v>
      </c>
      <c r="C89" s="1" t="s">
        <v>27</v>
      </c>
      <c r="D89" s="1" t="s">
        <v>29</v>
      </c>
      <c r="E89" s="1" t="s">
        <v>49</v>
      </c>
      <c r="F89" s="1">
        <v>10842</v>
      </c>
      <c r="G89" s="1">
        <v>4</v>
      </c>
      <c r="H89" s="1">
        <v>955</v>
      </c>
      <c r="I89" s="1">
        <f>YEAR(Sales_Data[[#This Row],[Date]])</f>
        <v>2024</v>
      </c>
      <c r="J89" s="1" t="str">
        <f>TEXT(Sales_Data[[#This Row],[Date]],"mmmm")</f>
        <v>January</v>
      </c>
      <c r="K89" s="3">
        <f>Sales_Data[[#This Row],[Profit]]/Sales_Data[[#This Row],[Sales]]</f>
        <v>8.8083379450285923E-2</v>
      </c>
      <c r="L89" s="1" t="str">
        <f>IF(Sales_Data[[#This Row],[Profit Margin
Profit/Sales]]&gt;0,"Profit","Loss")</f>
        <v>Profit</v>
      </c>
    </row>
    <row r="90" spans="1:12" x14ac:dyDescent="0.35">
      <c r="A90" s="1">
        <v>1089</v>
      </c>
      <c r="B90" s="1" t="s">
        <v>96</v>
      </c>
      <c r="C90" s="1" t="s">
        <v>23</v>
      </c>
      <c r="D90" s="1" t="s">
        <v>15</v>
      </c>
      <c r="E90" s="1" t="s">
        <v>18</v>
      </c>
      <c r="F90" s="1">
        <v>4934</v>
      </c>
      <c r="G90" s="1">
        <v>10</v>
      </c>
      <c r="H90" s="1">
        <v>1139</v>
      </c>
      <c r="I90" s="1">
        <f>YEAR(Sales_Data[[#This Row],[Date]])</f>
        <v>2024</v>
      </c>
      <c r="J90" s="1" t="str">
        <f>TEXT(Sales_Data[[#This Row],[Date]],"mmmm")</f>
        <v>August</v>
      </c>
      <c r="K90" s="3">
        <f>Sales_Data[[#This Row],[Profit]]/Sales_Data[[#This Row],[Sales]]</f>
        <v>0.23084718281313335</v>
      </c>
      <c r="L90" s="1" t="str">
        <f>IF(Sales_Data[[#This Row],[Profit Margin
Profit/Sales]]&gt;0,"Profit","Loss")</f>
        <v>Profit</v>
      </c>
    </row>
    <row r="91" spans="1:12" x14ac:dyDescent="0.35">
      <c r="A91" s="1">
        <v>1090</v>
      </c>
      <c r="B91" s="1" t="s">
        <v>97</v>
      </c>
      <c r="C91" s="1" t="s">
        <v>27</v>
      </c>
      <c r="D91" s="1" t="s">
        <v>10</v>
      </c>
      <c r="E91" s="1" t="s">
        <v>13</v>
      </c>
      <c r="F91" s="1">
        <v>2835</v>
      </c>
      <c r="G91" s="1">
        <v>1</v>
      </c>
      <c r="H91" s="1">
        <v>769</v>
      </c>
      <c r="I91" s="1">
        <f>YEAR(Sales_Data[[#This Row],[Date]])</f>
        <v>2024</v>
      </c>
      <c r="J91" s="1" t="str">
        <f>TEXT(Sales_Data[[#This Row],[Date]],"mmmm")</f>
        <v>November</v>
      </c>
      <c r="K91" s="3">
        <f>Sales_Data[[#This Row],[Profit]]/Sales_Data[[#This Row],[Sales]]</f>
        <v>0.27125220458553789</v>
      </c>
      <c r="L91" s="1" t="str">
        <f>IF(Sales_Data[[#This Row],[Profit Margin
Profit/Sales]]&gt;0,"Profit","Loss")</f>
        <v>Profit</v>
      </c>
    </row>
    <row r="92" spans="1:12" x14ac:dyDescent="0.35">
      <c r="A92" s="1">
        <v>1091</v>
      </c>
      <c r="B92" s="1" t="s">
        <v>98</v>
      </c>
      <c r="C92" s="1" t="s">
        <v>9</v>
      </c>
      <c r="D92" s="1" t="s">
        <v>29</v>
      </c>
      <c r="E92" s="1" t="s">
        <v>41</v>
      </c>
      <c r="F92" s="1">
        <v>39062</v>
      </c>
      <c r="G92" s="1">
        <v>2</v>
      </c>
      <c r="H92" s="1">
        <v>973</v>
      </c>
      <c r="I92" s="1">
        <f>YEAR(Sales_Data[[#This Row],[Date]])</f>
        <v>2024</v>
      </c>
      <c r="J92" s="1" t="str">
        <f>TEXT(Sales_Data[[#This Row],[Date]],"mmmm")</f>
        <v>December</v>
      </c>
      <c r="K92" s="3">
        <f>Sales_Data[[#This Row],[Profit]]/Sales_Data[[#This Row],[Sales]]</f>
        <v>2.490911883672111E-2</v>
      </c>
      <c r="L92" s="1" t="str">
        <f>IF(Sales_Data[[#This Row],[Profit Margin
Profit/Sales]]&gt;0,"Profit","Loss")</f>
        <v>Profit</v>
      </c>
    </row>
    <row r="93" spans="1:12" x14ac:dyDescent="0.35">
      <c r="A93" s="1">
        <v>1092</v>
      </c>
      <c r="B93" s="1" t="s">
        <v>62</v>
      </c>
      <c r="C93" s="1" t="s">
        <v>23</v>
      </c>
      <c r="D93" s="1" t="s">
        <v>29</v>
      </c>
      <c r="E93" s="1" t="s">
        <v>41</v>
      </c>
      <c r="F93" s="1">
        <v>3192</v>
      </c>
      <c r="G93" s="1">
        <v>6</v>
      </c>
      <c r="H93" s="1">
        <v>579</v>
      </c>
      <c r="I93" s="1">
        <f>YEAR(Sales_Data[[#This Row],[Date]])</f>
        <v>2024</v>
      </c>
      <c r="J93" s="1" t="str">
        <f>TEXT(Sales_Data[[#This Row],[Date]],"mmmm")</f>
        <v>June</v>
      </c>
      <c r="K93" s="3">
        <f>Sales_Data[[#This Row],[Profit]]/Sales_Data[[#This Row],[Sales]]</f>
        <v>0.18139097744360902</v>
      </c>
      <c r="L93" s="1" t="str">
        <f>IF(Sales_Data[[#This Row],[Profit Margin
Profit/Sales]]&gt;0,"Profit","Loss")</f>
        <v>Profit</v>
      </c>
    </row>
    <row r="94" spans="1:12" x14ac:dyDescent="0.35">
      <c r="A94" s="1">
        <v>1093</v>
      </c>
      <c r="B94" s="1" t="s">
        <v>99</v>
      </c>
      <c r="C94" s="1" t="s">
        <v>9</v>
      </c>
      <c r="D94" s="1" t="s">
        <v>15</v>
      </c>
      <c r="E94" s="1" t="s">
        <v>21</v>
      </c>
      <c r="F94" s="1">
        <v>12164</v>
      </c>
      <c r="G94" s="1">
        <v>6</v>
      </c>
      <c r="H94" s="1">
        <v>2420</v>
      </c>
      <c r="I94" s="1">
        <f>YEAR(Sales_Data[[#This Row],[Date]])</f>
        <v>2024</v>
      </c>
      <c r="J94" s="1" t="str">
        <f>TEXT(Sales_Data[[#This Row],[Date]],"mmmm")</f>
        <v>July</v>
      </c>
      <c r="K94" s="3">
        <f>Sales_Data[[#This Row],[Profit]]/Sales_Data[[#This Row],[Sales]]</f>
        <v>0.19894771456757646</v>
      </c>
      <c r="L94" s="1" t="str">
        <f>IF(Sales_Data[[#This Row],[Profit Margin
Profit/Sales]]&gt;0,"Profit","Loss")</f>
        <v>Profit</v>
      </c>
    </row>
    <row r="95" spans="1:12" x14ac:dyDescent="0.35">
      <c r="A95" s="1">
        <v>1094</v>
      </c>
      <c r="B95" s="1" t="s">
        <v>100</v>
      </c>
      <c r="C95" s="1" t="s">
        <v>23</v>
      </c>
      <c r="D95" s="1" t="s">
        <v>10</v>
      </c>
      <c r="E95" s="1" t="s">
        <v>11</v>
      </c>
      <c r="F95" s="1">
        <v>43009</v>
      </c>
      <c r="G95" s="1">
        <v>2</v>
      </c>
      <c r="H95" s="1">
        <v>6554</v>
      </c>
      <c r="I95" s="1">
        <f>YEAR(Sales_Data[[#This Row],[Date]])</f>
        <v>2024</v>
      </c>
      <c r="J95" s="1" t="str">
        <f>TEXT(Sales_Data[[#This Row],[Date]],"mmmm")</f>
        <v>August</v>
      </c>
      <c r="K95" s="3">
        <f>Sales_Data[[#This Row],[Profit]]/Sales_Data[[#This Row],[Sales]]</f>
        <v>0.15238670975842267</v>
      </c>
      <c r="L95" s="1" t="str">
        <f>IF(Sales_Data[[#This Row],[Profit Margin
Profit/Sales]]&gt;0,"Profit","Loss")</f>
        <v>Profit</v>
      </c>
    </row>
    <row r="96" spans="1:12" x14ac:dyDescent="0.35">
      <c r="A96" s="1">
        <v>1095</v>
      </c>
      <c r="B96" s="1" t="s">
        <v>101</v>
      </c>
      <c r="C96" s="1" t="s">
        <v>20</v>
      </c>
      <c r="D96" s="1" t="s">
        <v>29</v>
      </c>
      <c r="E96" s="1" t="s">
        <v>49</v>
      </c>
      <c r="F96" s="1">
        <v>30369</v>
      </c>
      <c r="G96" s="1">
        <v>3</v>
      </c>
      <c r="H96" s="1">
        <v>8524</v>
      </c>
      <c r="I96" s="1">
        <f>YEAR(Sales_Data[[#This Row],[Date]])</f>
        <v>2024</v>
      </c>
      <c r="J96" s="1" t="str">
        <f>TEXT(Sales_Data[[#This Row],[Date]],"mmmm")</f>
        <v>August</v>
      </c>
      <c r="K96" s="3">
        <f>Sales_Data[[#This Row],[Profit]]/Sales_Data[[#This Row],[Sales]]</f>
        <v>0.2806809575554019</v>
      </c>
      <c r="L96" s="1" t="str">
        <f>IF(Sales_Data[[#This Row],[Profit Margin
Profit/Sales]]&gt;0,"Profit","Loss")</f>
        <v>Profit</v>
      </c>
    </row>
    <row r="97" spans="1:12" x14ac:dyDescent="0.35">
      <c r="A97" s="1">
        <v>1096</v>
      </c>
      <c r="B97" s="1" t="s">
        <v>102</v>
      </c>
      <c r="C97" s="1" t="s">
        <v>27</v>
      </c>
      <c r="D97" s="1" t="s">
        <v>15</v>
      </c>
      <c r="E97" s="1" t="s">
        <v>18</v>
      </c>
      <c r="F97" s="1">
        <v>54687</v>
      </c>
      <c r="G97" s="1">
        <v>9</v>
      </c>
      <c r="H97" s="1">
        <v>9465</v>
      </c>
      <c r="I97" s="1">
        <f>YEAR(Sales_Data[[#This Row],[Date]])</f>
        <v>2024</v>
      </c>
      <c r="J97" s="1" t="str">
        <f>TEXT(Sales_Data[[#This Row],[Date]],"mmmm")</f>
        <v>September</v>
      </c>
      <c r="K97" s="3">
        <f>Sales_Data[[#This Row],[Profit]]/Sales_Data[[#This Row],[Sales]]</f>
        <v>0.17307586812222284</v>
      </c>
      <c r="L97" s="1" t="str">
        <f>IF(Sales_Data[[#This Row],[Profit Margin
Profit/Sales]]&gt;0,"Profit","Loss")</f>
        <v>Profit</v>
      </c>
    </row>
    <row r="98" spans="1:12" x14ac:dyDescent="0.35">
      <c r="A98" s="1">
        <v>1097</v>
      </c>
      <c r="B98" s="1" t="s">
        <v>103</v>
      </c>
      <c r="C98" s="1" t="s">
        <v>20</v>
      </c>
      <c r="D98" s="1" t="s">
        <v>10</v>
      </c>
      <c r="E98" s="1" t="s">
        <v>13</v>
      </c>
      <c r="F98" s="1">
        <v>25150</v>
      </c>
      <c r="G98" s="1">
        <v>8</v>
      </c>
      <c r="H98" s="1">
        <v>6955</v>
      </c>
      <c r="I98" s="1">
        <f>YEAR(Sales_Data[[#This Row],[Date]])</f>
        <v>2024</v>
      </c>
      <c r="J98" s="1" t="str">
        <f>TEXT(Sales_Data[[#This Row],[Date]],"mmmm")</f>
        <v>January</v>
      </c>
      <c r="K98" s="3">
        <f>Sales_Data[[#This Row],[Profit]]/Sales_Data[[#This Row],[Sales]]</f>
        <v>0.27654075546719681</v>
      </c>
      <c r="L98" s="1" t="str">
        <f>IF(Sales_Data[[#This Row],[Profit Margin
Profit/Sales]]&gt;0,"Profit","Loss")</f>
        <v>Profit</v>
      </c>
    </row>
    <row r="99" spans="1:12" x14ac:dyDescent="0.35">
      <c r="A99" s="1">
        <v>1098</v>
      </c>
      <c r="B99" s="1" t="s">
        <v>82</v>
      </c>
      <c r="C99" s="1" t="s">
        <v>9</v>
      </c>
      <c r="D99" s="1" t="s">
        <v>15</v>
      </c>
      <c r="E99" s="1" t="s">
        <v>21</v>
      </c>
      <c r="F99" s="1">
        <v>40663</v>
      </c>
      <c r="G99" s="1">
        <v>10</v>
      </c>
      <c r="H99" s="1">
        <v>5291</v>
      </c>
      <c r="I99" s="1">
        <f>YEAR(Sales_Data[[#This Row],[Date]])</f>
        <v>2024</v>
      </c>
      <c r="J99" s="1" t="str">
        <f>TEXT(Sales_Data[[#This Row],[Date]],"mmmm")</f>
        <v>June</v>
      </c>
      <c r="K99" s="3">
        <f>Sales_Data[[#This Row],[Profit]]/Sales_Data[[#This Row],[Sales]]</f>
        <v>0.13011828935395814</v>
      </c>
      <c r="L99" s="1" t="str">
        <f>IF(Sales_Data[[#This Row],[Profit Margin
Profit/Sales]]&gt;0,"Profit","Loss")</f>
        <v>Profit</v>
      </c>
    </row>
    <row r="100" spans="1:12" x14ac:dyDescent="0.35">
      <c r="A100" s="1">
        <v>1099</v>
      </c>
      <c r="B100" s="1" t="s">
        <v>104</v>
      </c>
      <c r="C100" s="1" t="s">
        <v>27</v>
      </c>
      <c r="D100" s="1" t="s">
        <v>15</v>
      </c>
      <c r="E100" s="1" t="s">
        <v>16</v>
      </c>
      <c r="F100" s="1">
        <v>4448</v>
      </c>
      <c r="G100" s="1">
        <v>1</v>
      </c>
      <c r="H100" s="1">
        <v>1231</v>
      </c>
      <c r="I100" s="1">
        <f>YEAR(Sales_Data[[#This Row],[Date]])</f>
        <v>2024</v>
      </c>
      <c r="J100" s="1" t="str">
        <f>TEXT(Sales_Data[[#This Row],[Date]],"mmmm")</f>
        <v>August</v>
      </c>
      <c r="K100" s="3">
        <f>Sales_Data[[#This Row],[Profit]]/Sales_Data[[#This Row],[Sales]]</f>
        <v>0.27675359712230213</v>
      </c>
      <c r="L100" s="1" t="str">
        <f>IF(Sales_Data[[#This Row],[Profit Margin
Profit/Sales]]&gt;0,"Profit","Loss")</f>
        <v>Profit</v>
      </c>
    </row>
    <row r="101" spans="1:12" x14ac:dyDescent="0.35">
      <c r="A101" s="1">
        <v>1100</v>
      </c>
      <c r="B101" s="1" t="s">
        <v>105</v>
      </c>
      <c r="C101" s="1" t="s">
        <v>27</v>
      </c>
      <c r="D101" s="1" t="s">
        <v>10</v>
      </c>
      <c r="E101" s="1" t="s">
        <v>11</v>
      </c>
      <c r="F101" s="1">
        <v>16024</v>
      </c>
      <c r="G101" s="1">
        <v>9</v>
      </c>
      <c r="H101" s="1">
        <v>4420</v>
      </c>
      <c r="I101" s="1">
        <f>YEAR(Sales_Data[[#This Row],[Date]])</f>
        <v>2024</v>
      </c>
      <c r="J101" s="1" t="str">
        <f>TEXT(Sales_Data[[#This Row],[Date]],"mmmm")</f>
        <v>November</v>
      </c>
      <c r="K101" s="3">
        <f>Sales_Data[[#This Row],[Profit]]/Sales_Data[[#This Row],[Sales]]</f>
        <v>0.27583624563155268</v>
      </c>
      <c r="L101" s="1" t="str">
        <f>IF(Sales_Data[[#This Row],[Profit Margin
Profit/Sales]]&gt;0,"Profit","Loss")</f>
        <v>Profit</v>
      </c>
    </row>
    <row r="102" spans="1:12" x14ac:dyDescent="0.35">
      <c r="A102" s="1">
        <v>1101</v>
      </c>
      <c r="B102" s="1" t="s">
        <v>106</v>
      </c>
      <c r="C102" s="1" t="s">
        <v>9</v>
      </c>
      <c r="D102" s="1" t="s">
        <v>29</v>
      </c>
      <c r="E102" s="1" t="s">
        <v>41</v>
      </c>
      <c r="F102" s="1">
        <v>41968</v>
      </c>
      <c r="G102" s="1">
        <v>4</v>
      </c>
      <c r="H102" s="1">
        <v>6355</v>
      </c>
      <c r="I102" s="1">
        <f>YEAR(Sales_Data[[#This Row],[Date]])</f>
        <v>2024</v>
      </c>
      <c r="J102" s="1" t="str">
        <f>TEXT(Sales_Data[[#This Row],[Date]],"mmmm")</f>
        <v>November</v>
      </c>
      <c r="K102" s="3">
        <f>Sales_Data[[#This Row],[Profit]]/Sales_Data[[#This Row],[Sales]]</f>
        <v>0.15142489515821578</v>
      </c>
      <c r="L102" s="1" t="str">
        <f>IF(Sales_Data[[#This Row],[Profit Margin
Profit/Sales]]&gt;0,"Profit","Loss")</f>
        <v>Profit</v>
      </c>
    </row>
    <row r="103" spans="1:12" x14ac:dyDescent="0.35">
      <c r="A103" s="1">
        <v>1102</v>
      </c>
      <c r="B103" s="1" t="s">
        <v>69</v>
      </c>
      <c r="C103" s="1" t="s">
        <v>20</v>
      </c>
      <c r="D103" s="1" t="s">
        <v>29</v>
      </c>
      <c r="E103" s="1" t="s">
        <v>49</v>
      </c>
      <c r="F103" s="1">
        <v>18534</v>
      </c>
      <c r="G103" s="1">
        <v>7</v>
      </c>
      <c r="H103" s="1">
        <v>3550</v>
      </c>
      <c r="I103" s="1">
        <f>YEAR(Sales_Data[[#This Row],[Date]])</f>
        <v>2024</v>
      </c>
      <c r="J103" s="1" t="str">
        <f>TEXT(Sales_Data[[#This Row],[Date]],"mmmm")</f>
        <v>October</v>
      </c>
      <c r="K103" s="3">
        <f>Sales_Data[[#This Row],[Profit]]/Sales_Data[[#This Row],[Sales]]</f>
        <v>0.19153987266645084</v>
      </c>
      <c r="L103" s="1" t="str">
        <f>IF(Sales_Data[[#This Row],[Profit Margin
Profit/Sales]]&gt;0,"Profit","Loss")</f>
        <v>Profit</v>
      </c>
    </row>
    <row r="104" spans="1:12" x14ac:dyDescent="0.35">
      <c r="A104" s="1">
        <v>1103</v>
      </c>
      <c r="B104" s="1" t="s">
        <v>107</v>
      </c>
      <c r="C104" s="1" t="s">
        <v>9</v>
      </c>
      <c r="D104" s="1" t="s">
        <v>15</v>
      </c>
      <c r="E104" s="1" t="s">
        <v>16</v>
      </c>
      <c r="F104" s="1">
        <v>27709</v>
      </c>
      <c r="G104" s="1">
        <v>8</v>
      </c>
      <c r="H104" s="1">
        <v>6335</v>
      </c>
      <c r="I104" s="1">
        <f>YEAR(Sales_Data[[#This Row],[Date]])</f>
        <v>2024</v>
      </c>
      <c r="J104" s="1" t="str">
        <f>TEXT(Sales_Data[[#This Row],[Date]],"mmmm")</f>
        <v>April</v>
      </c>
      <c r="K104" s="3">
        <f>Sales_Data[[#This Row],[Profit]]/Sales_Data[[#This Row],[Sales]]</f>
        <v>0.2286260781695478</v>
      </c>
      <c r="L104" s="1" t="str">
        <f>IF(Sales_Data[[#This Row],[Profit Margin
Profit/Sales]]&gt;0,"Profit","Loss")</f>
        <v>Profit</v>
      </c>
    </row>
    <row r="105" spans="1:12" x14ac:dyDescent="0.35">
      <c r="A105" s="1">
        <v>1104</v>
      </c>
      <c r="B105" s="1" t="s">
        <v>108</v>
      </c>
      <c r="C105" s="1" t="s">
        <v>20</v>
      </c>
      <c r="D105" s="1" t="s">
        <v>15</v>
      </c>
      <c r="E105" s="1" t="s">
        <v>21</v>
      </c>
      <c r="F105" s="1">
        <v>27520</v>
      </c>
      <c r="G105" s="1">
        <v>5</v>
      </c>
      <c r="H105" s="1">
        <v>6317</v>
      </c>
      <c r="I105" s="1">
        <f>YEAR(Sales_Data[[#This Row],[Date]])</f>
        <v>2024</v>
      </c>
      <c r="J105" s="1" t="str">
        <f>TEXT(Sales_Data[[#This Row],[Date]],"mmmm")</f>
        <v>April</v>
      </c>
      <c r="K105" s="3">
        <f>Sales_Data[[#This Row],[Profit]]/Sales_Data[[#This Row],[Sales]]</f>
        <v>0.2295421511627907</v>
      </c>
      <c r="L105" s="1" t="str">
        <f>IF(Sales_Data[[#This Row],[Profit Margin
Profit/Sales]]&gt;0,"Profit","Loss")</f>
        <v>Profit</v>
      </c>
    </row>
    <row r="106" spans="1:12" x14ac:dyDescent="0.35">
      <c r="A106" s="1">
        <v>1105</v>
      </c>
      <c r="B106" s="1" t="s">
        <v>109</v>
      </c>
      <c r="C106" s="1" t="s">
        <v>27</v>
      </c>
      <c r="D106" s="1" t="s">
        <v>10</v>
      </c>
      <c r="E106" s="1" t="s">
        <v>11</v>
      </c>
      <c r="F106" s="1">
        <v>26450</v>
      </c>
      <c r="G106" s="1">
        <v>6</v>
      </c>
      <c r="H106" s="1">
        <v>5372</v>
      </c>
      <c r="I106" s="1">
        <f>YEAR(Sales_Data[[#This Row],[Date]])</f>
        <v>2024</v>
      </c>
      <c r="J106" s="1" t="str">
        <f>TEXT(Sales_Data[[#This Row],[Date]],"mmmm")</f>
        <v>May</v>
      </c>
      <c r="K106" s="3">
        <f>Sales_Data[[#This Row],[Profit]]/Sales_Data[[#This Row],[Sales]]</f>
        <v>0.20310018903591681</v>
      </c>
      <c r="L106" s="1" t="str">
        <f>IF(Sales_Data[[#This Row],[Profit Margin
Profit/Sales]]&gt;0,"Profit","Loss")</f>
        <v>Profit</v>
      </c>
    </row>
    <row r="107" spans="1:12" x14ac:dyDescent="0.35">
      <c r="A107" s="1">
        <v>1106</v>
      </c>
      <c r="B107" s="1" t="s">
        <v>73</v>
      </c>
      <c r="C107" s="1" t="s">
        <v>27</v>
      </c>
      <c r="D107" s="1" t="s">
        <v>29</v>
      </c>
      <c r="E107" s="1" t="s">
        <v>41</v>
      </c>
      <c r="F107" s="1">
        <v>59146</v>
      </c>
      <c r="G107" s="1">
        <v>8</v>
      </c>
      <c r="H107" s="1">
        <v>15468</v>
      </c>
      <c r="I107" s="1">
        <f>YEAR(Sales_Data[[#This Row],[Date]])</f>
        <v>2024</v>
      </c>
      <c r="J107" s="1" t="str">
        <f>TEXT(Sales_Data[[#This Row],[Date]],"mmmm")</f>
        <v>June</v>
      </c>
      <c r="K107" s="3">
        <f>Sales_Data[[#This Row],[Profit]]/Sales_Data[[#This Row],[Sales]]</f>
        <v>0.26152233456193147</v>
      </c>
      <c r="L107" s="1" t="str">
        <f>IF(Sales_Data[[#This Row],[Profit Margin
Profit/Sales]]&gt;0,"Profit","Loss")</f>
        <v>Profit</v>
      </c>
    </row>
    <row r="108" spans="1:12" x14ac:dyDescent="0.35">
      <c r="A108" s="1">
        <v>1107</v>
      </c>
      <c r="B108" s="1" t="s">
        <v>110</v>
      </c>
      <c r="C108" s="1" t="s">
        <v>20</v>
      </c>
      <c r="D108" s="1" t="s">
        <v>10</v>
      </c>
      <c r="E108" s="1" t="s">
        <v>13</v>
      </c>
      <c r="F108" s="1">
        <v>18032</v>
      </c>
      <c r="G108" s="1">
        <v>3</v>
      </c>
      <c r="H108" s="1">
        <v>3006</v>
      </c>
      <c r="I108" s="1">
        <f>YEAR(Sales_Data[[#This Row],[Date]])</f>
        <v>2024</v>
      </c>
      <c r="J108" s="1" t="str">
        <f>TEXT(Sales_Data[[#This Row],[Date]],"mmmm")</f>
        <v>January</v>
      </c>
      <c r="K108" s="3">
        <f>Sales_Data[[#This Row],[Profit]]/Sales_Data[[#This Row],[Sales]]</f>
        <v>0.16670363797692991</v>
      </c>
      <c r="L108" s="1" t="str">
        <f>IF(Sales_Data[[#This Row],[Profit Margin
Profit/Sales]]&gt;0,"Profit","Loss")</f>
        <v>Profit</v>
      </c>
    </row>
    <row r="109" spans="1:12" x14ac:dyDescent="0.35">
      <c r="A109" s="1">
        <v>1108</v>
      </c>
      <c r="B109" s="1" t="s">
        <v>50</v>
      </c>
      <c r="C109" s="1" t="s">
        <v>27</v>
      </c>
      <c r="D109" s="1" t="s">
        <v>15</v>
      </c>
      <c r="E109" s="1" t="s">
        <v>18</v>
      </c>
      <c r="F109" s="1">
        <v>19101</v>
      </c>
      <c r="G109" s="1">
        <v>10</v>
      </c>
      <c r="H109" s="1">
        <v>3984</v>
      </c>
      <c r="I109" s="1">
        <f>YEAR(Sales_Data[[#This Row],[Date]])</f>
        <v>2024</v>
      </c>
      <c r="J109" s="1" t="str">
        <f>TEXT(Sales_Data[[#This Row],[Date]],"mmmm")</f>
        <v>October</v>
      </c>
      <c r="K109" s="3">
        <f>Sales_Data[[#This Row],[Profit]]/Sales_Data[[#This Row],[Sales]]</f>
        <v>0.20857546725302339</v>
      </c>
      <c r="L109" s="1" t="str">
        <f>IF(Sales_Data[[#This Row],[Profit Margin
Profit/Sales]]&gt;0,"Profit","Loss")</f>
        <v>Profit</v>
      </c>
    </row>
    <row r="110" spans="1:12" x14ac:dyDescent="0.35">
      <c r="A110" s="1">
        <v>1109</v>
      </c>
      <c r="B110" s="1" t="s">
        <v>111</v>
      </c>
      <c r="C110" s="1" t="s">
        <v>27</v>
      </c>
      <c r="D110" s="1" t="s">
        <v>29</v>
      </c>
      <c r="E110" s="1" t="s">
        <v>30</v>
      </c>
      <c r="F110" s="1">
        <v>47360</v>
      </c>
      <c r="G110" s="1">
        <v>5</v>
      </c>
      <c r="H110" s="1">
        <v>2509</v>
      </c>
      <c r="I110" s="1">
        <f>YEAR(Sales_Data[[#This Row],[Date]])</f>
        <v>2024</v>
      </c>
      <c r="J110" s="1" t="str">
        <f>TEXT(Sales_Data[[#This Row],[Date]],"mmmm")</f>
        <v>December</v>
      </c>
      <c r="K110" s="3">
        <f>Sales_Data[[#This Row],[Profit]]/Sales_Data[[#This Row],[Sales]]</f>
        <v>5.2977195945945944E-2</v>
      </c>
      <c r="L110" s="1" t="str">
        <f>IF(Sales_Data[[#This Row],[Profit Margin
Profit/Sales]]&gt;0,"Profit","Loss")</f>
        <v>Profit</v>
      </c>
    </row>
    <row r="111" spans="1:12" x14ac:dyDescent="0.35">
      <c r="A111" s="1">
        <v>1110</v>
      </c>
      <c r="B111" s="1" t="s">
        <v>62</v>
      </c>
      <c r="C111" s="1" t="s">
        <v>23</v>
      </c>
      <c r="D111" s="1" t="s">
        <v>10</v>
      </c>
      <c r="E111" s="1" t="s">
        <v>13</v>
      </c>
      <c r="F111" s="1">
        <v>11480</v>
      </c>
      <c r="G111" s="1">
        <v>10</v>
      </c>
      <c r="H111" s="1">
        <v>1569</v>
      </c>
      <c r="I111" s="1">
        <f>YEAR(Sales_Data[[#This Row],[Date]])</f>
        <v>2024</v>
      </c>
      <c r="J111" s="1" t="str">
        <f>TEXT(Sales_Data[[#This Row],[Date]],"mmmm")</f>
        <v>June</v>
      </c>
      <c r="K111" s="3">
        <f>Sales_Data[[#This Row],[Profit]]/Sales_Data[[#This Row],[Sales]]</f>
        <v>0.13667247386759582</v>
      </c>
      <c r="L111" s="1" t="str">
        <f>IF(Sales_Data[[#This Row],[Profit Margin
Profit/Sales]]&gt;0,"Profit","Loss")</f>
        <v>Profit</v>
      </c>
    </row>
    <row r="112" spans="1:12" x14ac:dyDescent="0.35">
      <c r="A112" s="1">
        <v>1111</v>
      </c>
      <c r="B112" s="1" t="s">
        <v>112</v>
      </c>
      <c r="C112" s="1" t="s">
        <v>27</v>
      </c>
      <c r="D112" s="1" t="s">
        <v>10</v>
      </c>
      <c r="E112" s="1" t="s">
        <v>13</v>
      </c>
      <c r="F112" s="1">
        <v>22485</v>
      </c>
      <c r="G112" s="1">
        <v>9</v>
      </c>
      <c r="H112" s="1">
        <v>3447</v>
      </c>
      <c r="I112" s="1">
        <f>YEAR(Sales_Data[[#This Row],[Date]])</f>
        <v>2024</v>
      </c>
      <c r="J112" s="1" t="str">
        <f>TEXT(Sales_Data[[#This Row],[Date]],"mmmm")</f>
        <v>March</v>
      </c>
      <c r="K112" s="3">
        <f>Sales_Data[[#This Row],[Profit]]/Sales_Data[[#This Row],[Sales]]</f>
        <v>0.15330220146764509</v>
      </c>
      <c r="L112" s="1" t="str">
        <f>IF(Sales_Data[[#This Row],[Profit Margin
Profit/Sales]]&gt;0,"Profit","Loss")</f>
        <v>Profit</v>
      </c>
    </row>
    <row r="113" spans="1:12" x14ac:dyDescent="0.35">
      <c r="A113" s="1">
        <v>1112</v>
      </c>
      <c r="B113" s="1" t="s">
        <v>113</v>
      </c>
      <c r="C113" s="1" t="s">
        <v>27</v>
      </c>
      <c r="D113" s="1" t="s">
        <v>29</v>
      </c>
      <c r="E113" s="1" t="s">
        <v>30</v>
      </c>
      <c r="F113" s="1">
        <v>8163</v>
      </c>
      <c r="G113" s="1">
        <v>7</v>
      </c>
      <c r="H113" s="1">
        <v>1095</v>
      </c>
      <c r="I113" s="1">
        <f>YEAR(Sales_Data[[#This Row],[Date]])</f>
        <v>2024</v>
      </c>
      <c r="J113" s="1" t="str">
        <f>TEXT(Sales_Data[[#This Row],[Date]],"mmmm")</f>
        <v>November</v>
      </c>
      <c r="K113" s="3">
        <f>Sales_Data[[#This Row],[Profit]]/Sales_Data[[#This Row],[Sales]]</f>
        <v>0.13414185961043734</v>
      </c>
      <c r="L113" s="1" t="str">
        <f>IF(Sales_Data[[#This Row],[Profit Margin
Profit/Sales]]&gt;0,"Profit","Loss")</f>
        <v>Profit</v>
      </c>
    </row>
    <row r="114" spans="1:12" x14ac:dyDescent="0.35">
      <c r="A114" s="1">
        <v>1113</v>
      </c>
      <c r="B114" s="1" t="s">
        <v>114</v>
      </c>
      <c r="C114" s="1" t="s">
        <v>27</v>
      </c>
      <c r="D114" s="1" t="s">
        <v>29</v>
      </c>
      <c r="E114" s="1" t="s">
        <v>49</v>
      </c>
      <c r="F114" s="1">
        <v>41852</v>
      </c>
      <c r="G114" s="1">
        <v>8</v>
      </c>
      <c r="H114" s="1">
        <v>8935</v>
      </c>
      <c r="I114" s="1">
        <f>YEAR(Sales_Data[[#This Row],[Date]])</f>
        <v>2024</v>
      </c>
      <c r="J114" s="1" t="str">
        <f>TEXT(Sales_Data[[#This Row],[Date]],"mmmm")</f>
        <v>November</v>
      </c>
      <c r="K114" s="3">
        <f>Sales_Data[[#This Row],[Profit]]/Sales_Data[[#This Row],[Sales]]</f>
        <v>0.21349039472426645</v>
      </c>
      <c r="L114" s="1" t="str">
        <f>IF(Sales_Data[[#This Row],[Profit Margin
Profit/Sales]]&gt;0,"Profit","Loss")</f>
        <v>Profit</v>
      </c>
    </row>
    <row r="115" spans="1:12" x14ac:dyDescent="0.35">
      <c r="A115" s="1">
        <v>1114</v>
      </c>
      <c r="B115" s="1" t="s">
        <v>115</v>
      </c>
      <c r="C115" s="1" t="s">
        <v>23</v>
      </c>
      <c r="D115" s="1" t="s">
        <v>10</v>
      </c>
      <c r="E115" s="1" t="s">
        <v>13</v>
      </c>
      <c r="F115" s="1">
        <v>29214</v>
      </c>
      <c r="G115" s="1">
        <v>10</v>
      </c>
      <c r="H115" s="1">
        <v>3551</v>
      </c>
      <c r="I115" s="1">
        <f>YEAR(Sales_Data[[#This Row],[Date]])</f>
        <v>2024</v>
      </c>
      <c r="J115" s="1" t="str">
        <f>TEXT(Sales_Data[[#This Row],[Date]],"mmmm")</f>
        <v>August</v>
      </c>
      <c r="K115" s="3">
        <f>Sales_Data[[#This Row],[Profit]]/Sales_Data[[#This Row],[Sales]]</f>
        <v>0.12155131101526666</v>
      </c>
      <c r="L115" s="1" t="str">
        <f>IF(Sales_Data[[#This Row],[Profit Margin
Profit/Sales]]&gt;0,"Profit","Loss")</f>
        <v>Profit</v>
      </c>
    </row>
    <row r="116" spans="1:12" x14ac:dyDescent="0.35">
      <c r="A116" s="1">
        <v>1115</v>
      </c>
      <c r="B116" s="1" t="s">
        <v>116</v>
      </c>
      <c r="C116" s="1" t="s">
        <v>23</v>
      </c>
      <c r="D116" s="1" t="s">
        <v>15</v>
      </c>
      <c r="E116" s="1" t="s">
        <v>18</v>
      </c>
      <c r="F116" s="1">
        <v>43613</v>
      </c>
      <c r="G116" s="1">
        <v>1</v>
      </c>
      <c r="H116" s="1">
        <v>2327</v>
      </c>
      <c r="I116" s="1">
        <f>YEAR(Sales_Data[[#This Row],[Date]])</f>
        <v>2024</v>
      </c>
      <c r="J116" s="1" t="str">
        <f>TEXT(Sales_Data[[#This Row],[Date]],"mmmm")</f>
        <v>July</v>
      </c>
      <c r="K116" s="3">
        <f>Sales_Data[[#This Row],[Profit]]/Sales_Data[[#This Row],[Sales]]</f>
        <v>5.3355650838052875E-2</v>
      </c>
      <c r="L116" s="1" t="str">
        <f>IF(Sales_Data[[#This Row],[Profit Margin
Profit/Sales]]&gt;0,"Profit","Loss")</f>
        <v>Profit</v>
      </c>
    </row>
    <row r="117" spans="1:12" x14ac:dyDescent="0.35">
      <c r="A117" s="1">
        <v>1116</v>
      </c>
      <c r="B117" s="1" t="s">
        <v>117</v>
      </c>
      <c r="C117" s="1" t="s">
        <v>9</v>
      </c>
      <c r="D117" s="1" t="s">
        <v>10</v>
      </c>
      <c r="E117" s="1" t="s">
        <v>11</v>
      </c>
      <c r="F117" s="1">
        <v>5459</v>
      </c>
      <c r="G117" s="1">
        <v>9</v>
      </c>
      <c r="H117" s="1">
        <v>203</v>
      </c>
      <c r="I117" s="1">
        <f>YEAR(Sales_Data[[#This Row],[Date]])</f>
        <v>2024</v>
      </c>
      <c r="J117" s="1" t="str">
        <f>TEXT(Sales_Data[[#This Row],[Date]],"mmmm")</f>
        <v>May</v>
      </c>
      <c r="K117" s="3">
        <f>Sales_Data[[#This Row],[Profit]]/Sales_Data[[#This Row],[Sales]]</f>
        <v>3.7186297856750324E-2</v>
      </c>
      <c r="L117" s="1" t="str">
        <f>IF(Sales_Data[[#This Row],[Profit Margin
Profit/Sales]]&gt;0,"Profit","Loss")</f>
        <v>Profit</v>
      </c>
    </row>
    <row r="118" spans="1:12" x14ac:dyDescent="0.35">
      <c r="A118" s="1">
        <v>1117</v>
      </c>
      <c r="B118" s="1" t="s">
        <v>77</v>
      </c>
      <c r="C118" s="1" t="s">
        <v>9</v>
      </c>
      <c r="D118" s="1" t="s">
        <v>29</v>
      </c>
      <c r="E118" s="1" t="s">
        <v>41</v>
      </c>
      <c r="F118" s="1">
        <v>5349</v>
      </c>
      <c r="G118" s="1">
        <v>9</v>
      </c>
      <c r="H118" s="1">
        <v>1307</v>
      </c>
      <c r="I118" s="1">
        <f>YEAR(Sales_Data[[#This Row],[Date]])</f>
        <v>2024</v>
      </c>
      <c r="J118" s="1" t="str">
        <f>TEXT(Sales_Data[[#This Row],[Date]],"mmmm")</f>
        <v>February</v>
      </c>
      <c r="K118" s="3">
        <f>Sales_Data[[#This Row],[Profit]]/Sales_Data[[#This Row],[Sales]]</f>
        <v>0.24434473733408113</v>
      </c>
      <c r="L118" s="1" t="str">
        <f>IF(Sales_Data[[#This Row],[Profit Margin
Profit/Sales]]&gt;0,"Profit","Loss")</f>
        <v>Profit</v>
      </c>
    </row>
    <row r="119" spans="1:12" x14ac:dyDescent="0.35">
      <c r="A119" s="1">
        <v>1118</v>
      </c>
      <c r="B119" s="1" t="s">
        <v>118</v>
      </c>
      <c r="C119" s="1" t="s">
        <v>20</v>
      </c>
      <c r="D119" s="1" t="s">
        <v>29</v>
      </c>
      <c r="E119" s="1" t="s">
        <v>41</v>
      </c>
      <c r="F119" s="1">
        <v>41480</v>
      </c>
      <c r="G119" s="1">
        <v>9</v>
      </c>
      <c r="H119" s="1">
        <v>208</v>
      </c>
      <c r="I119" s="1">
        <f>YEAR(Sales_Data[[#This Row],[Date]])</f>
        <v>2024</v>
      </c>
      <c r="J119" s="1" t="str">
        <f>TEXT(Sales_Data[[#This Row],[Date]],"mmmm")</f>
        <v>August</v>
      </c>
      <c r="K119" s="3">
        <f>Sales_Data[[#This Row],[Profit]]/Sales_Data[[#This Row],[Sales]]</f>
        <v>5.0144648023143683E-3</v>
      </c>
      <c r="L119" s="1" t="str">
        <f>IF(Sales_Data[[#This Row],[Profit Margin
Profit/Sales]]&gt;0,"Profit","Loss")</f>
        <v>Profit</v>
      </c>
    </row>
    <row r="120" spans="1:12" x14ac:dyDescent="0.35">
      <c r="A120" s="1">
        <v>1119</v>
      </c>
      <c r="B120" s="1" t="s">
        <v>119</v>
      </c>
      <c r="C120" s="1" t="s">
        <v>9</v>
      </c>
      <c r="D120" s="1" t="s">
        <v>29</v>
      </c>
      <c r="E120" s="1" t="s">
        <v>30</v>
      </c>
      <c r="F120" s="1">
        <v>16537</v>
      </c>
      <c r="G120" s="1">
        <v>2</v>
      </c>
      <c r="H120" s="1">
        <v>510</v>
      </c>
      <c r="I120" s="1">
        <f>YEAR(Sales_Data[[#This Row],[Date]])</f>
        <v>2024</v>
      </c>
      <c r="J120" s="1" t="str">
        <f>TEXT(Sales_Data[[#This Row],[Date]],"mmmm")</f>
        <v>January</v>
      </c>
      <c r="K120" s="3">
        <f>Sales_Data[[#This Row],[Profit]]/Sales_Data[[#This Row],[Sales]]</f>
        <v>3.0839934691903007E-2</v>
      </c>
      <c r="L120" s="1" t="str">
        <f>IF(Sales_Data[[#This Row],[Profit Margin
Profit/Sales]]&gt;0,"Profit","Loss")</f>
        <v>Profit</v>
      </c>
    </row>
    <row r="121" spans="1:12" x14ac:dyDescent="0.35">
      <c r="A121" s="1">
        <v>1120</v>
      </c>
      <c r="B121" s="1" t="s">
        <v>120</v>
      </c>
      <c r="C121" s="1" t="s">
        <v>20</v>
      </c>
      <c r="D121" s="1" t="s">
        <v>29</v>
      </c>
      <c r="E121" s="1" t="s">
        <v>49</v>
      </c>
      <c r="F121" s="1">
        <v>50810</v>
      </c>
      <c r="G121" s="1">
        <v>8</v>
      </c>
      <c r="H121" s="1">
        <v>7971</v>
      </c>
      <c r="I121" s="1">
        <f>YEAR(Sales_Data[[#This Row],[Date]])</f>
        <v>2024</v>
      </c>
      <c r="J121" s="1" t="str">
        <f>TEXT(Sales_Data[[#This Row],[Date]],"mmmm")</f>
        <v>December</v>
      </c>
      <c r="K121" s="3">
        <f>Sales_Data[[#This Row],[Profit]]/Sales_Data[[#This Row],[Sales]]</f>
        <v>0.1568785672111789</v>
      </c>
      <c r="L121" s="1" t="str">
        <f>IF(Sales_Data[[#This Row],[Profit Margin
Profit/Sales]]&gt;0,"Profit","Loss")</f>
        <v>Profit</v>
      </c>
    </row>
    <row r="122" spans="1:12" x14ac:dyDescent="0.35">
      <c r="A122" s="1">
        <v>1121</v>
      </c>
      <c r="B122" s="1" t="s">
        <v>121</v>
      </c>
      <c r="C122" s="1" t="s">
        <v>27</v>
      </c>
      <c r="D122" s="1" t="s">
        <v>10</v>
      </c>
      <c r="E122" s="1" t="s">
        <v>34</v>
      </c>
      <c r="F122" s="1">
        <v>31166</v>
      </c>
      <c r="G122" s="1">
        <v>10</v>
      </c>
      <c r="H122" s="1">
        <v>2609</v>
      </c>
      <c r="I122" s="1">
        <f>YEAR(Sales_Data[[#This Row],[Date]])</f>
        <v>2024</v>
      </c>
      <c r="J122" s="1" t="str">
        <f>TEXT(Sales_Data[[#This Row],[Date]],"mmmm")</f>
        <v>December</v>
      </c>
      <c r="K122" s="3">
        <f>Sales_Data[[#This Row],[Profit]]/Sales_Data[[#This Row],[Sales]]</f>
        <v>8.3713020599371107E-2</v>
      </c>
      <c r="L122" s="1" t="str">
        <f>IF(Sales_Data[[#This Row],[Profit Margin
Profit/Sales]]&gt;0,"Profit","Loss")</f>
        <v>Profit</v>
      </c>
    </row>
    <row r="123" spans="1:12" x14ac:dyDescent="0.35">
      <c r="A123" s="1">
        <v>1122</v>
      </c>
      <c r="B123" s="1" t="s">
        <v>122</v>
      </c>
      <c r="C123" s="1" t="s">
        <v>27</v>
      </c>
      <c r="D123" s="1" t="s">
        <v>15</v>
      </c>
      <c r="E123" s="1" t="s">
        <v>18</v>
      </c>
      <c r="F123" s="1">
        <v>3502</v>
      </c>
      <c r="G123" s="1">
        <v>1</v>
      </c>
      <c r="H123" s="1">
        <v>216</v>
      </c>
      <c r="I123" s="1">
        <f>YEAR(Sales_Data[[#This Row],[Date]])</f>
        <v>2024</v>
      </c>
      <c r="J123" s="1" t="str">
        <f>TEXT(Sales_Data[[#This Row],[Date]],"mmmm")</f>
        <v>August</v>
      </c>
      <c r="K123" s="3">
        <f>Sales_Data[[#This Row],[Profit]]/Sales_Data[[#This Row],[Sales]]</f>
        <v>6.1679040548258138E-2</v>
      </c>
      <c r="L123" s="1" t="str">
        <f>IF(Sales_Data[[#This Row],[Profit Margin
Profit/Sales]]&gt;0,"Profit","Loss")</f>
        <v>Profit</v>
      </c>
    </row>
    <row r="124" spans="1:12" x14ac:dyDescent="0.35">
      <c r="A124" s="1">
        <v>1123</v>
      </c>
      <c r="B124" s="1" t="s">
        <v>88</v>
      </c>
      <c r="C124" s="1" t="s">
        <v>23</v>
      </c>
      <c r="D124" s="1" t="s">
        <v>29</v>
      </c>
      <c r="E124" s="1" t="s">
        <v>30</v>
      </c>
      <c r="F124" s="1">
        <v>24905</v>
      </c>
      <c r="G124" s="1">
        <v>2</v>
      </c>
      <c r="H124" s="1">
        <v>1690</v>
      </c>
      <c r="I124" s="1">
        <f>YEAR(Sales_Data[[#This Row],[Date]])</f>
        <v>2024</v>
      </c>
      <c r="J124" s="1" t="str">
        <f>TEXT(Sales_Data[[#This Row],[Date]],"mmmm")</f>
        <v>July</v>
      </c>
      <c r="K124" s="3">
        <f>Sales_Data[[#This Row],[Profit]]/Sales_Data[[#This Row],[Sales]]</f>
        <v>6.7857859867496484E-2</v>
      </c>
      <c r="L124" s="1" t="str">
        <f>IF(Sales_Data[[#This Row],[Profit Margin
Profit/Sales]]&gt;0,"Profit","Loss")</f>
        <v>Profit</v>
      </c>
    </row>
    <row r="125" spans="1:12" x14ac:dyDescent="0.35">
      <c r="A125" s="1">
        <v>1124</v>
      </c>
      <c r="B125" s="1" t="s">
        <v>123</v>
      </c>
      <c r="C125" s="1" t="s">
        <v>23</v>
      </c>
      <c r="D125" s="1" t="s">
        <v>15</v>
      </c>
      <c r="E125" s="1" t="s">
        <v>18</v>
      </c>
      <c r="F125" s="1">
        <v>36049</v>
      </c>
      <c r="G125" s="1">
        <v>9</v>
      </c>
      <c r="H125" s="1">
        <v>9024</v>
      </c>
      <c r="I125" s="1">
        <f>YEAR(Sales_Data[[#This Row],[Date]])</f>
        <v>2024</v>
      </c>
      <c r="J125" s="1" t="str">
        <f>TEXT(Sales_Data[[#This Row],[Date]],"mmmm")</f>
        <v>June</v>
      </c>
      <c r="K125" s="3">
        <f>Sales_Data[[#This Row],[Profit]]/Sales_Data[[#This Row],[Sales]]</f>
        <v>0.2503259452411995</v>
      </c>
      <c r="L125" s="1" t="str">
        <f>IF(Sales_Data[[#This Row],[Profit Margin
Profit/Sales]]&gt;0,"Profit","Loss")</f>
        <v>Profit</v>
      </c>
    </row>
    <row r="126" spans="1:12" x14ac:dyDescent="0.35">
      <c r="A126" s="1">
        <v>1125</v>
      </c>
      <c r="B126" s="1" t="s">
        <v>119</v>
      </c>
      <c r="C126" s="1" t="s">
        <v>9</v>
      </c>
      <c r="D126" s="1" t="s">
        <v>10</v>
      </c>
      <c r="E126" s="1" t="s">
        <v>11</v>
      </c>
      <c r="F126" s="1">
        <v>29528</v>
      </c>
      <c r="G126" s="1">
        <v>8</v>
      </c>
      <c r="H126" s="1">
        <v>1103</v>
      </c>
      <c r="I126" s="1">
        <f>YEAR(Sales_Data[[#This Row],[Date]])</f>
        <v>2024</v>
      </c>
      <c r="J126" s="1" t="str">
        <f>TEXT(Sales_Data[[#This Row],[Date]],"mmmm")</f>
        <v>January</v>
      </c>
      <c r="K126" s="3">
        <f>Sales_Data[[#This Row],[Profit]]/Sales_Data[[#This Row],[Sales]]</f>
        <v>3.7354375507992414E-2</v>
      </c>
      <c r="L126" s="1" t="str">
        <f>IF(Sales_Data[[#This Row],[Profit Margin
Profit/Sales]]&gt;0,"Profit","Loss")</f>
        <v>Profit</v>
      </c>
    </row>
    <row r="127" spans="1:12" x14ac:dyDescent="0.35">
      <c r="A127" s="1">
        <v>1126</v>
      </c>
      <c r="B127" s="1" t="s">
        <v>124</v>
      </c>
      <c r="C127" s="1" t="s">
        <v>20</v>
      </c>
      <c r="D127" s="1" t="s">
        <v>10</v>
      </c>
      <c r="E127" s="1" t="s">
        <v>34</v>
      </c>
      <c r="F127" s="1">
        <v>57061</v>
      </c>
      <c r="G127" s="1">
        <v>9</v>
      </c>
      <c r="H127" s="1">
        <v>858</v>
      </c>
      <c r="I127" s="1">
        <f>YEAR(Sales_Data[[#This Row],[Date]])</f>
        <v>2024</v>
      </c>
      <c r="J127" s="1" t="str">
        <f>TEXT(Sales_Data[[#This Row],[Date]],"mmmm")</f>
        <v>April</v>
      </c>
      <c r="K127" s="3">
        <f>Sales_Data[[#This Row],[Profit]]/Sales_Data[[#This Row],[Sales]]</f>
        <v>1.5036539843325564E-2</v>
      </c>
      <c r="L127" s="1" t="str">
        <f>IF(Sales_Data[[#This Row],[Profit Margin
Profit/Sales]]&gt;0,"Profit","Loss")</f>
        <v>Profit</v>
      </c>
    </row>
    <row r="128" spans="1:12" x14ac:dyDescent="0.35">
      <c r="A128" s="1">
        <v>1127</v>
      </c>
      <c r="B128" s="1" t="s">
        <v>101</v>
      </c>
      <c r="C128" s="1" t="s">
        <v>9</v>
      </c>
      <c r="D128" s="1" t="s">
        <v>15</v>
      </c>
      <c r="E128" s="1" t="s">
        <v>18</v>
      </c>
      <c r="F128" s="1">
        <v>59726</v>
      </c>
      <c r="G128" s="1">
        <v>7</v>
      </c>
      <c r="H128" s="1">
        <v>4246</v>
      </c>
      <c r="I128" s="1">
        <f>YEAR(Sales_Data[[#This Row],[Date]])</f>
        <v>2024</v>
      </c>
      <c r="J128" s="1" t="str">
        <f>TEXT(Sales_Data[[#This Row],[Date]],"mmmm")</f>
        <v>August</v>
      </c>
      <c r="K128" s="3">
        <f>Sales_Data[[#This Row],[Profit]]/Sales_Data[[#This Row],[Sales]]</f>
        <v>7.1091317014365607E-2</v>
      </c>
      <c r="L128" s="1" t="str">
        <f>IF(Sales_Data[[#This Row],[Profit Margin
Profit/Sales]]&gt;0,"Profit","Loss")</f>
        <v>Profit</v>
      </c>
    </row>
    <row r="129" spans="1:12" x14ac:dyDescent="0.35">
      <c r="A129" s="1">
        <v>1128</v>
      </c>
      <c r="B129" s="1" t="s">
        <v>125</v>
      </c>
      <c r="C129" s="1" t="s">
        <v>20</v>
      </c>
      <c r="D129" s="1" t="s">
        <v>10</v>
      </c>
      <c r="E129" s="1" t="s">
        <v>13</v>
      </c>
      <c r="F129" s="1">
        <v>21461</v>
      </c>
      <c r="G129" s="1">
        <v>6</v>
      </c>
      <c r="H129" s="1">
        <v>1375</v>
      </c>
      <c r="I129" s="1">
        <f>YEAR(Sales_Data[[#This Row],[Date]])</f>
        <v>2024</v>
      </c>
      <c r="J129" s="1" t="str">
        <f>TEXT(Sales_Data[[#This Row],[Date]],"mmmm")</f>
        <v>September</v>
      </c>
      <c r="K129" s="3">
        <f>Sales_Data[[#This Row],[Profit]]/Sales_Data[[#This Row],[Sales]]</f>
        <v>6.4069707842132242E-2</v>
      </c>
      <c r="L129" s="1" t="str">
        <f>IF(Sales_Data[[#This Row],[Profit Margin
Profit/Sales]]&gt;0,"Profit","Loss")</f>
        <v>Profit</v>
      </c>
    </row>
    <row r="130" spans="1:12" x14ac:dyDescent="0.35">
      <c r="A130" s="1">
        <v>1129</v>
      </c>
      <c r="B130" s="1" t="s">
        <v>126</v>
      </c>
      <c r="C130" s="1" t="s">
        <v>9</v>
      </c>
      <c r="D130" s="1" t="s">
        <v>29</v>
      </c>
      <c r="E130" s="1" t="s">
        <v>41</v>
      </c>
      <c r="F130" s="1">
        <v>23451</v>
      </c>
      <c r="G130" s="1">
        <v>6</v>
      </c>
      <c r="H130" s="1">
        <v>3594</v>
      </c>
      <c r="I130" s="1">
        <f>YEAR(Sales_Data[[#This Row],[Date]])</f>
        <v>2024</v>
      </c>
      <c r="J130" s="1" t="str">
        <f>TEXT(Sales_Data[[#This Row],[Date]],"mmmm")</f>
        <v>July</v>
      </c>
      <c r="K130" s="3">
        <f>Sales_Data[[#This Row],[Profit]]/Sales_Data[[#This Row],[Sales]]</f>
        <v>0.15325572470257132</v>
      </c>
      <c r="L130" s="1" t="str">
        <f>IF(Sales_Data[[#This Row],[Profit Margin
Profit/Sales]]&gt;0,"Profit","Loss")</f>
        <v>Profit</v>
      </c>
    </row>
    <row r="131" spans="1:12" x14ac:dyDescent="0.35">
      <c r="A131" s="1">
        <v>1130</v>
      </c>
      <c r="B131" s="1" t="s">
        <v>127</v>
      </c>
      <c r="C131" s="1" t="s">
        <v>20</v>
      </c>
      <c r="D131" s="1" t="s">
        <v>10</v>
      </c>
      <c r="E131" s="1" t="s">
        <v>11</v>
      </c>
      <c r="F131" s="1">
        <v>23122</v>
      </c>
      <c r="G131" s="1">
        <v>4</v>
      </c>
      <c r="H131" s="1">
        <v>611</v>
      </c>
      <c r="I131" s="1">
        <f>YEAR(Sales_Data[[#This Row],[Date]])</f>
        <v>2024</v>
      </c>
      <c r="J131" s="1" t="str">
        <f>TEXT(Sales_Data[[#This Row],[Date]],"mmmm")</f>
        <v>September</v>
      </c>
      <c r="K131" s="3">
        <f>Sales_Data[[#This Row],[Profit]]/Sales_Data[[#This Row],[Sales]]</f>
        <v>2.6425049736181993E-2</v>
      </c>
      <c r="L131" s="1" t="str">
        <f>IF(Sales_Data[[#This Row],[Profit Margin
Profit/Sales]]&gt;0,"Profit","Loss")</f>
        <v>Profit</v>
      </c>
    </row>
    <row r="132" spans="1:12" x14ac:dyDescent="0.35">
      <c r="A132" s="1">
        <v>1131</v>
      </c>
      <c r="B132" s="1" t="s">
        <v>128</v>
      </c>
      <c r="C132" s="1" t="s">
        <v>9</v>
      </c>
      <c r="D132" s="1" t="s">
        <v>10</v>
      </c>
      <c r="E132" s="1" t="s">
        <v>13</v>
      </c>
      <c r="F132" s="1">
        <v>56158</v>
      </c>
      <c r="G132" s="1">
        <v>7</v>
      </c>
      <c r="H132" s="1">
        <v>3536</v>
      </c>
      <c r="I132" s="1">
        <f>YEAR(Sales_Data[[#This Row],[Date]])</f>
        <v>2024</v>
      </c>
      <c r="J132" s="1" t="str">
        <f>TEXT(Sales_Data[[#This Row],[Date]],"mmmm")</f>
        <v>May</v>
      </c>
      <c r="K132" s="3">
        <f>Sales_Data[[#This Row],[Profit]]/Sales_Data[[#This Row],[Sales]]</f>
        <v>6.2965205313579548E-2</v>
      </c>
      <c r="L132" s="1" t="str">
        <f>IF(Sales_Data[[#This Row],[Profit Margin
Profit/Sales]]&gt;0,"Profit","Loss")</f>
        <v>Profit</v>
      </c>
    </row>
    <row r="133" spans="1:12" x14ac:dyDescent="0.35">
      <c r="A133" s="1">
        <v>1132</v>
      </c>
      <c r="B133" s="1" t="s">
        <v>99</v>
      </c>
      <c r="C133" s="1" t="s">
        <v>20</v>
      </c>
      <c r="D133" s="1" t="s">
        <v>10</v>
      </c>
      <c r="E133" s="1" t="s">
        <v>34</v>
      </c>
      <c r="F133" s="1">
        <v>11591</v>
      </c>
      <c r="G133" s="1">
        <v>4</v>
      </c>
      <c r="H133" s="1">
        <v>1121</v>
      </c>
      <c r="I133" s="1">
        <f>YEAR(Sales_Data[[#This Row],[Date]])</f>
        <v>2024</v>
      </c>
      <c r="J133" s="1" t="str">
        <f>TEXT(Sales_Data[[#This Row],[Date]],"mmmm")</f>
        <v>July</v>
      </c>
      <c r="K133" s="3">
        <f>Sales_Data[[#This Row],[Profit]]/Sales_Data[[#This Row],[Sales]]</f>
        <v>9.6712966957121907E-2</v>
      </c>
      <c r="L133" s="1" t="str">
        <f>IF(Sales_Data[[#This Row],[Profit Margin
Profit/Sales]]&gt;0,"Profit","Loss")</f>
        <v>Profit</v>
      </c>
    </row>
    <row r="134" spans="1:12" x14ac:dyDescent="0.35">
      <c r="A134" s="1">
        <v>1133</v>
      </c>
      <c r="B134" s="1" t="s">
        <v>129</v>
      </c>
      <c r="C134" s="1" t="s">
        <v>23</v>
      </c>
      <c r="D134" s="1" t="s">
        <v>15</v>
      </c>
      <c r="E134" s="1" t="s">
        <v>18</v>
      </c>
      <c r="F134" s="1">
        <v>27634</v>
      </c>
      <c r="G134" s="1">
        <v>3</v>
      </c>
      <c r="H134" s="1">
        <v>5911</v>
      </c>
      <c r="I134" s="1">
        <f>YEAR(Sales_Data[[#This Row],[Date]])</f>
        <v>2024</v>
      </c>
      <c r="J134" s="1" t="str">
        <f>TEXT(Sales_Data[[#This Row],[Date]],"mmmm")</f>
        <v>April</v>
      </c>
      <c r="K134" s="3">
        <f>Sales_Data[[#This Row],[Profit]]/Sales_Data[[#This Row],[Sales]]</f>
        <v>0.21390316277050012</v>
      </c>
      <c r="L134" s="1" t="str">
        <f>IF(Sales_Data[[#This Row],[Profit Margin
Profit/Sales]]&gt;0,"Profit","Loss")</f>
        <v>Profit</v>
      </c>
    </row>
    <row r="135" spans="1:12" x14ac:dyDescent="0.35">
      <c r="A135" s="1">
        <v>1134</v>
      </c>
      <c r="B135" s="1" t="s">
        <v>130</v>
      </c>
      <c r="C135" s="1" t="s">
        <v>23</v>
      </c>
      <c r="D135" s="1" t="s">
        <v>29</v>
      </c>
      <c r="E135" s="1" t="s">
        <v>41</v>
      </c>
      <c r="F135" s="1">
        <v>13451</v>
      </c>
      <c r="G135" s="1">
        <v>6</v>
      </c>
      <c r="H135" s="1">
        <v>1037</v>
      </c>
      <c r="I135" s="1">
        <f>YEAR(Sales_Data[[#This Row],[Date]])</f>
        <v>2024</v>
      </c>
      <c r="J135" s="1" t="str">
        <f>TEXT(Sales_Data[[#This Row],[Date]],"mmmm")</f>
        <v>June</v>
      </c>
      <c r="K135" s="3">
        <f>Sales_Data[[#This Row],[Profit]]/Sales_Data[[#This Row],[Sales]]</f>
        <v>7.709463980373206E-2</v>
      </c>
      <c r="L135" s="1" t="str">
        <f>IF(Sales_Data[[#This Row],[Profit Margin
Profit/Sales]]&gt;0,"Profit","Loss")</f>
        <v>Profit</v>
      </c>
    </row>
    <row r="136" spans="1:12" x14ac:dyDescent="0.35">
      <c r="A136" s="1">
        <v>1135</v>
      </c>
      <c r="B136" s="1" t="s">
        <v>131</v>
      </c>
      <c r="C136" s="1" t="s">
        <v>23</v>
      </c>
      <c r="D136" s="1" t="s">
        <v>29</v>
      </c>
      <c r="E136" s="1" t="s">
        <v>41</v>
      </c>
      <c r="F136" s="1">
        <v>12184</v>
      </c>
      <c r="G136" s="1">
        <v>7</v>
      </c>
      <c r="H136" s="1">
        <v>3155</v>
      </c>
      <c r="I136" s="1">
        <f>YEAR(Sales_Data[[#This Row],[Date]])</f>
        <v>2024</v>
      </c>
      <c r="J136" s="1" t="str">
        <f>TEXT(Sales_Data[[#This Row],[Date]],"mmmm")</f>
        <v>January</v>
      </c>
      <c r="K136" s="3">
        <f>Sales_Data[[#This Row],[Profit]]/Sales_Data[[#This Row],[Sales]]</f>
        <v>0.25894615889691397</v>
      </c>
      <c r="L136" s="1" t="str">
        <f>IF(Sales_Data[[#This Row],[Profit Margin
Profit/Sales]]&gt;0,"Profit","Loss")</f>
        <v>Profit</v>
      </c>
    </row>
    <row r="137" spans="1:12" x14ac:dyDescent="0.35">
      <c r="A137" s="1">
        <v>1136</v>
      </c>
      <c r="B137" s="1" t="s">
        <v>61</v>
      </c>
      <c r="C137" s="1" t="s">
        <v>27</v>
      </c>
      <c r="D137" s="1" t="s">
        <v>10</v>
      </c>
      <c r="E137" s="1" t="s">
        <v>11</v>
      </c>
      <c r="F137" s="1">
        <v>10442</v>
      </c>
      <c r="G137" s="1">
        <v>2</v>
      </c>
      <c r="H137" s="1">
        <v>2250</v>
      </c>
      <c r="I137" s="1">
        <f>YEAR(Sales_Data[[#This Row],[Date]])</f>
        <v>2024</v>
      </c>
      <c r="J137" s="1" t="str">
        <f>TEXT(Sales_Data[[#This Row],[Date]],"mmmm")</f>
        <v>February</v>
      </c>
      <c r="K137" s="3">
        <f>Sales_Data[[#This Row],[Profit]]/Sales_Data[[#This Row],[Sales]]</f>
        <v>0.21547596245929898</v>
      </c>
      <c r="L137" s="1" t="str">
        <f>IF(Sales_Data[[#This Row],[Profit Margin
Profit/Sales]]&gt;0,"Profit","Loss")</f>
        <v>Profit</v>
      </c>
    </row>
    <row r="138" spans="1:12" x14ac:dyDescent="0.35">
      <c r="A138" s="1">
        <v>1137</v>
      </c>
      <c r="B138" s="1" t="s">
        <v>132</v>
      </c>
      <c r="C138" s="1" t="s">
        <v>23</v>
      </c>
      <c r="D138" s="1" t="s">
        <v>15</v>
      </c>
      <c r="E138" s="1" t="s">
        <v>16</v>
      </c>
      <c r="F138" s="1">
        <v>59008</v>
      </c>
      <c r="G138" s="1">
        <v>5</v>
      </c>
      <c r="H138" s="1">
        <v>10090</v>
      </c>
      <c r="I138" s="1">
        <f>YEAR(Sales_Data[[#This Row],[Date]])</f>
        <v>2024</v>
      </c>
      <c r="J138" s="1" t="str">
        <f>TEXT(Sales_Data[[#This Row],[Date]],"mmmm")</f>
        <v>April</v>
      </c>
      <c r="K138" s="3">
        <f>Sales_Data[[#This Row],[Profit]]/Sales_Data[[#This Row],[Sales]]</f>
        <v>0.17099376355748372</v>
      </c>
      <c r="L138" s="1" t="str">
        <f>IF(Sales_Data[[#This Row],[Profit Margin
Profit/Sales]]&gt;0,"Profit","Loss")</f>
        <v>Profit</v>
      </c>
    </row>
    <row r="139" spans="1:12" x14ac:dyDescent="0.35">
      <c r="A139" s="1">
        <v>1138</v>
      </c>
      <c r="B139" s="1" t="s">
        <v>133</v>
      </c>
      <c r="C139" s="1" t="s">
        <v>27</v>
      </c>
      <c r="D139" s="1" t="s">
        <v>29</v>
      </c>
      <c r="E139" s="1" t="s">
        <v>49</v>
      </c>
      <c r="F139" s="1">
        <v>31197</v>
      </c>
      <c r="G139" s="1">
        <v>8</v>
      </c>
      <c r="H139" s="1">
        <v>2075</v>
      </c>
      <c r="I139" s="1">
        <f>YEAR(Sales_Data[[#This Row],[Date]])</f>
        <v>2024</v>
      </c>
      <c r="J139" s="1" t="str">
        <f>TEXT(Sales_Data[[#This Row],[Date]],"mmmm")</f>
        <v>October</v>
      </c>
      <c r="K139" s="3">
        <f>Sales_Data[[#This Row],[Profit]]/Sales_Data[[#This Row],[Sales]]</f>
        <v>6.6512805718498574E-2</v>
      </c>
      <c r="L139" s="1" t="str">
        <f>IF(Sales_Data[[#This Row],[Profit Margin
Profit/Sales]]&gt;0,"Profit","Loss")</f>
        <v>Profit</v>
      </c>
    </row>
    <row r="140" spans="1:12" x14ac:dyDescent="0.35">
      <c r="A140" s="1">
        <v>1139</v>
      </c>
      <c r="B140" s="1" t="s">
        <v>134</v>
      </c>
      <c r="C140" s="1" t="s">
        <v>27</v>
      </c>
      <c r="D140" s="1" t="s">
        <v>10</v>
      </c>
      <c r="E140" s="1" t="s">
        <v>11</v>
      </c>
      <c r="F140" s="1">
        <v>37139</v>
      </c>
      <c r="G140" s="1">
        <v>3</v>
      </c>
      <c r="H140" s="1">
        <v>6174</v>
      </c>
      <c r="I140" s="1">
        <f>YEAR(Sales_Data[[#This Row],[Date]])</f>
        <v>2024</v>
      </c>
      <c r="J140" s="1" t="str">
        <f>TEXT(Sales_Data[[#This Row],[Date]],"mmmm")</f>
        <v>April</v>
      </c>
      <c r="K140" s="3">
        <f>Sales_Data[[#This Row],[Profit]]/Sales_Data[[#This Row],[Sales]]</f>
        <v>0.16624034034303561</v>
      </c>
      <c r="L140" s="1" t="str">
        <f>IF(Sales_Data[[#This Row],[Profit Margin
Profit/Sales]]&gt;0,"Profit","Loss")</f>
        <v>Profit</v>
      </c>
    </row>
    <row r="141" spans="1:12" x14ac:dyDescent="0.35">
      <c r="A141" s="1">
        <v>1140</v>
      </c>
      <c r="B141" s="1" t="s">
        <v>135</v>
      </c>
      <c r="C141" s="1" t="s">
        <v>27</v>
      </c>
      <c r="D141" s="1" t="s">
        <v>15</v>
      </c>
      <c r="E141" s="1" t="s">
        <v>18</v>
      </c>
      <c r="F141" s="1">
        <v>12936</v>
      </c>
      <c r="G141" s="1">
        <v>5</v>
      </c>
      <c r="H141" s="1">
        <v>711</v>
      </c>
      <c r="I141" s="1">
        <f>YEAR(Sales_Data[[#This Row],[Date]])</f>
        <v>2024</v>
      </c>
      <c r="J141" s="1" t="str">
        <f>TEXT(Sales_Data[[#This Row],[Date]],"mmmm")</f>
        <v>December</v>
      </c>
      <c r="K141" s="3">
        <f>Sales_Data[[#This Row],[Profit]]/Sales_Data[[#This Row],[Sales]]</f>
        <v>5.4962894248608535E-2</v>
      </c>
      <c r="L141" s="1" t="str">
        <f>IF(Sales_Data[[#This Row],[Profit Margin
Profit/Sales]]&gt;0,"Profit","Loss")</f>
        <v>Profit</v>
      </c>
    </row>
    <row r="142" spans="1:12" x14ac:dyDescent="0.35">
      <c r="A142" s="1">
        <v>1141</v>
      </c>
      <c r="B142" s="1" t="s">
        <v>136</v>
      </c>
      <c r="C142" s="1" t="s">
        <v>20</v>
      </c>
      <c r="D142" s="1" t="s">
        <v>15</v>
      </c>
      <c r="E142" s="1" t="s">
        <v>16</v>
      </c>
      <c r="F142" s="1">
        <v>59070</v>
      </c>
      <c r="G142" s="1">
        <v>2</v>
      </c>
      <c r="H142" s="1">
        <v>4893</v>
      </c>
      <c r="I142" s="1">
        <f>YEAR(Sales_Data[[#This Row],[Date]])</f>
        <v>2024</v>
      </c>
      <c r="J142" s="1" t="str">
        <f>TEXT(Sales_Data[[#This Row],[Date]],"mmmm")</f>
        <v>September</v>
      </c>
      <c r="K142" s="3">
        <f>Sales_Data[[#This Row],[Profit]]/Sales_Data[[#This Row],[Sales]]</f>
        <v>8.2833925850685622E-2</v>
      </c>
      <c r="L142" s="1" t="str">
        <f>IF(Sales_Data[[#This Row],[Profit Margin
Profit/Sales]]&gt;0,"Profit","Loss")</f>
        <v>Profit</v>
      </c>
    </row>
    <row r="143" spans="1:12" x14ac:dyDescent="0.35">
      <c r="A143" s="1">
        <v>1142</v>
      </c>
      <c r="B143" s="1" t="s">
        <v>109</v>
      </c>
      <c r="C143" s="1" t="s">
        <v>20</v>
      </c>
      <c r="D143" s="1" t="s">
        <v>29</v>
      </c>
      <c r="E143" s="1" t="s">
        <v>30</v>
      </c>
      <c r="F143" s="1">
        <v>54322</v>
      </c>
      <c r="G143" s="1">
        <v>1</v>
      </c>
      <c r="H143" s="1">
        <v>7651</v>
      </c>
      <c r="I143" s="1">
        <f>YEAR(Sales_Data[[#This Row],[Date]])</f>
        <v>2024</v>
      </c>
      <c r="J143" s="1" t="str">
        <f>TEXT(Sales_Data[[#This Row],[Date]],"mmmm")</f>
        <v>May</v>
      </c>
      <c r="K143" s="3">
        <f>Sales_Data[[#This Row],[Profit]]/Sales_Data[[#This Row],[Sales]]</f>
        <v>0.14084532970067376</v>
      </c>
      <c r="L143" s="1" t="str">
        <f>IF(Sales_Data[[#This Row],[Profit Margin
Profit/Sales]]&gt;0,"Profit","Loss")</f>
        <v>Profit</v>
      </c>
    </row>
    <row r="144" spans="1:12" x14ac:dyDescent="0.35">
      <c r="A144" s="1">
        <v>1143</v>
      </c>
      <c r="B144" s="1" t="s">
        <v>137</v>
      </c>
      <c r="C144" s="1" t="s">
        <v>9</v>
      </c>
      <c r="D144" s="1" t="s">
        <v>15</v>
      </c>
      <c r="E144" s="1" t="s">
        <v>18</v>
      </c>
      <c r="F144" s="1">
        <v>47042</v>
      </c>
      <c r="G144" s="1">
        <v>6</v>
      </c>
      <c r="H144" s="1">
        <v>7202</v>
      </c>
      <c r="I144" s="1">
        <f>YEAR(Sales_Data[[#This Row],[Date]])</f>
        <v>2024</v>
      </c>
      <c r="J144" s="1" t="str">
        <f>TEXT(Sales_Data[[#This Row],[Date]],"mmmm")</f>
        <v>July</v>
      </c>
      <c r="K144" s="3">
        <f>Sales_Data[[#This Row],[Profit]]/Sales_Data[[#This Row],[Sales]]</f>
        <v>0.15309723226053315</v>
      </c>
      <c r="L144" s="1" t="str">
        <f>IF(Sales_Data[[#This Row],[Profit Margin
Profit/Sales]]&gt;0,"Profit","Loss")</f>
        <v>Profit</v>
      </c>
    </row>
    <row r="145" spans="1:12" x14ac:dyDescent="0.35">
      <c r="A145" s="1">
        <v>1144</v>
      </c>
      <c r="B145" s="1" t="s">
        <v>138</v>
      </c>
      <c r="C145" s="1" t="s">
        <v>23</v>
      </c>
      <c r="D145" s="1" t="s">
        <v>15</v>
      </c>
      <c r="E145" s="1" t="s">
        <v>18</v>
      </c>
      <c r="F145" s="1">
        <v>48260</v>
      </c>
      <c r="G145" s="1">
        <v>9</v>
      </c>
      <c r="H145" s="1">
        <v>4331</v>
      </c>
      <c r="I145" s="1">
        <f>YEAR(Sales_Data[[#This Row],[Date]])</f>
        <v>2024</v>
      </c>
      <c r="J145" s="1" t="str">
        <f>TEXT(Sales_Data[[#This Row],[Date]],"mmmm")</f>
        <v>November</v>
      </c>
      <c r="K145" s="3">
        <f>Sales_Data[[#This Row],[Profit]]/Sales_Data[[#This Row],[Sales]]</f>
        <v>8.974305843348529E-2</v>
      </c>
      <c r="L145" s="1" t="str">
        <f>IF(Sales_Data[[#This Row],[Profit Margin
Profit/Sales]]&gt;0,"Profit","Loss")</f>
        <v>Profit</v>
      </c>
    </row>
    <row r="146" spans="1:12" x14ac:dyDescent="0.35">
      <c r="A146" s="1">
        <v>1145</v>
      </c>
      <c r="B146" s="1" t="s">
        <v>139</v>
      </c>
      <c r="C146" s="1" t="s">
        <v>23</v>
      </c>
      <c r="D146" s="1" t="s">
        <v>15</v>
      </c>
      <c r="E146" s="1" t="s">
        <v>16</v>
      </c>
      <c r="F146" s="1">
        <v>42800</v>
      </c>
      <c r="G146" s="1">
        <v>7</v>
      </c>
      <c r="H146" s="1">
        <v>1343</v>
      </c>
      <c r="I146" s="1">
        <f>YEAR(Sales_Data[[#This Row],[Date]])</f>
        <v>2024</v>
      </c>
      <c r="J146" s="1" t="str">
        <f>TEXT(Sales_Data[[#This Row],[Date]],"mmmm")</f>
        <v>May</v>
      </c>
      <c r="K146" s="3">
        <f>Sales_Data[[#This Row],[Profit]]/Sales_Data[[#This Row],[Sales]]</f>
        <v>3.1378504672897198E-2</v>
      </c>
      <c r="L146" s="1" t="str">
        <f>IF(Sales_Data[[#This Row],[Profit Margin
Profit/Sales]]&gt;0,"Profit","Loss")</f>
        <v>Profit</v>
      </c>
    </row>
    <row r="147" spans="1:12" x14ac:dyDescent="0.35">
      <c r="A147" s="1">
        <v>1146</v>
      </c>
      <c r="B147" s="1" t="s">
        <v>106</v>
      </c>
      <c r="C147" s="1" t="s">
        <v>27</v>
      </c>
      <c r="D147" s="1" t="s">
        <v>15</v>
      </c>
      <c r="E147" s="1" t="s">
        <v>21</v>
      </c>
      <c r="F147" s="1">
        <v>43245</v>
      </c>
      <c r="G147" s="1">
        <v>9</v>
      </c>
      <c r="H147" s="1">
        <v>8922</v>
      </c>
      <c r="I147" s="1">
        <f>YEAR(Sales_Data[[#This Row],[Date]])</f>
        <v>2024</v>
      </c>
      <c r="J147" s="1" t="str">
        <f>TEXT(Sales_Data[[#This Row],[Date]],"mmmm")</f>
        <v>November</v>
      </c>
      <c r="K147" s="3">
        <f>Sales_Data[[#This Row],[Profit]]/Sales_Data[[#This Row],[Sales]]</f>
        <v>0.20631286853971556</v>
      </c>
      <c r="L147" s="1" t="str">
        <f>IF(Sales_Data[[#This Row],[Profit Margin
Profit/Sales]]&gt;0,"Profit","Loss")</f>
        <v>Profit</v>
      </c>
    </row>
    <row r="148" spans="1:12" x14ac:dyDescent="0.35">
      <c r="A148" s="1">
        <v>1147</v>
      </c>
      <c r="B148" s="1" t="s">
        <v>140</v>
      </c>
      <c r="C148" s="1" t="s">
        <v>9</v>
      </c>
      <c r="D148" s="1" t="s">
        <v>15</v>
      </c>
      <c r="E148" s="1" t="s">
        <v>21</v>
      </c>
      <c r="F148" s="1">
        <v>33437</v>
      </c>
      <c r="G148" s="1">
        <v>2</v>
      </c>
      <c r="H148" s="1">
        <v>4300</v>
      </c>
      <c r="I148" s="1">
        <f>YEAR(Sales_Data[[#This Row],[Date]])</f>
        <v>2024</v>
      </c>
      <c r="J148" s="1" t="str">
        <f>TEXT(Sales_Data[[#This Row],[Date]],"mmmm")</f>
        <v>November</v>
      </c>
      <c r="K148" s="3">
        <f>Sales_Data[[#This Row],[Profit]]/Sales_Data[[#This Row],[Sales]]</f>
        <v>0.12860005383258066</v>
      </c>
      <c r="L148" s="1" t="str">
        <f>IF(Sales_Data[[#This Row],[Profit Margin
Profit/Sales]]&gt;0,"Profit","Loss")</f>
        <v>Profit</v>
      </c>
    </row>
    <row r="149" spans="1:12" x14ac:dyDescent="0.35">
      <c r="A149" s="1">
        <v>1148</v>
      </c>
      <c r="B149" s="1" t="s">
        <v>64</v>
      </c>
      <c r="C149" s="1" t="s">
        <v>20</v>
      </c>
      <c r="D149" s="1" t="s">
        <v>29</v>
      </c>
      <c r="E149" s="1" t="s">
        <v>30</v>
      </c>
      <c r="F149" s="1">
        <v>10198</v>
      </c>
      <c r="G149" s="1">
        <v>6</v>
      </c>
      <c r="H149" s="1">
        <v>1631</v>
      </c>
      <c r="I149" s="1">
        <f>YEAR(Sales_Data[[#This Row],[Date]])</f>
        <v>2024</v>
      </c>
      <c r="J149" s="1" t="str">
        <f>TEXT(Sales_Data[[#This Row],[Date]],"mmmm")</f>
        <v>July</v>
      </c>
      <c r="K149" s="3">
        <f>Sales_Data[[#This Row],[Profit]]/Sales_Data[[#This Row],[Sales]]</f>
        <v>0.1599333202588743</v>
      </c>
      <c r="L149" s="1" t="str">
        <f>IF(Sales_Data[[#This Row],[Profit Margin
Profit/Sales]]&gt;0,"Profit","Loss")</f>
        <v>Profit</v>
      </c>
    </row>
    <row r="150" spans="1:12" x14ac:dyDescent="0.35">
      <c r="A150" s="1">
        <v>1149</v>
      </c>
      <c r="B150" s="1" t="s">
        <v>24</v>
      </c>
      <c r="C150" s="1" t="s">
        <v>23</v>
      </c>
      <c r="D150" s="1" t="s">
        <v>10</v>
      </c>
      <c r="E150" s="1" t="s">
        <v>13</v>
      </c>
      <c r="F150" s="1">
        <v>15563</v>
      </c>
      <c r="G150" s="1">
        <v>5</v>
      </c>
      <c r="H150" s="1">
        <v>3386</v>
      </c>
      <c r="I150" s="1">
        <f>YEAR(Sales_Data[[#This Row],[Date]])</f>
        <v>2024</v>
      </c>
      <c r="J150" s="1" t="str">
        <f>TEXT(Sales_Data[[#This Row],[Date]],"mmmm")</f>
        <v>June</v>
      </c>
      <c r="K150" s="3">
        <f>Sales_Data[[#This Row],[Profit]]/Sales_Data[[#This Row],[Sales]]</f>
        <v>0.2175673070744715</v>
      </c>
      <c r="L150" s="1" t="str">
        <f>IF(Sales_Data[[#This Row],[Profit Margin
Profit/Sales]]&gt;0,"Profit","Loss")</f>
        <v>Profit</v>
      </c>
    </row>
    <row r="151" spans="1:12" x14ac:dyDescent="0.35">
      <c r="A151" s="1">
        <v>1150</v>
      </c>
      <c r="B151" s="1" t="s">
        <v>141</v>
      </c>
      <c r="C151" s="1" t="s">
        <v>23</v>
      </c>
      <c r="D151" s="1" t="s">
        <v>15</v>
      </c>
      <c r="E151" s="1" t="s">
        <v>16</v>
      </c>
      <c r="F151" s="1">
        <v>40980</v>
      </c>
      <c r="G151" s="1">
        <v>9</v>
      </c>
      <c r="H151" s="1">
        <v>3619</v>
      </c>
      <c r="I151" s="1">
        <f>YEAR(Sales_Data[[#This Row],[Date]])</f>
        <v>2024</v>
      </c>
      <c r="J151" s="1" t="str">
        <f>TEXT(Sales_Data[[#This Row],[Date]],"mmmm")</f>
        <v>October</v>
      </c>
      <c r="K151" s="3">
        <f>Sales_Data[[#This Row],[Profit]]/Sales_Data[[#This Row],[Sales]]</f>
        <v>8.8311371400683264E-2</v>
      </c>
      <c r="L151" s="1" t="str">
        <f>IF(Sales_Data[[#This Row],[Profit Margin
Profit/Sales]]&gt;0,"Profit","Loss")</f>
        <v>Profit</v>
      </c>
    </row>
    <row r="152" spans="1:12" x14ac:dyDescent="0.35">
      <c r="A152" s="1">
        <v>1151</v>
      </c>
      <c r="B152" s="1" t="s">
        <v>142</v>
      </c>
      <c r="C152" s="1" t="s">
        <v>9</v>
      </c>
      <c r="D152" s="1" t="s">
        <v>15</v>
      </c>
      <c r="E152" s="1" t="s">
        <v>21</v>
      </c>
      <c r="F152" s="1">
        <v>59124</v>
      </c>
      <c r="G152" s="1">
        <v>4</v>
      </c>
      <c r="H152" s="1">
        <v>5222</v>
      </c>
      <c r="I152" s="1">
        <f>YEAR(Sales_Data[[#This Row],[Date]])</f>
        <v>2024</v>
      </c>
      <c r="J152" s="1" t="str">
        <f>TEXT(Sales_Data[[#This Row],[Date]],"mmmm")</f>
        <v>November</v>
      </c>
      <c r="K152" s="3">
        <f>Sales_Data[[#This Row],[Profit]]/Sales_Data[[#This Row],[Sales]]</f>
        <v>8.8322846898044788E-2</v>
      </c>
      <c r="L152" s="1" t="str">
        <f>IF(Sales_Data[[#This Row],[Profit Margin
Profit/Sales]]&gt;0,"Profit","Loss")</f>
        <v>Profit</v>
      </c>
    </row>
    <row r="153" spans="1:12" x14ac:dyDescent="0.35">
      <c r="A153" s="1">
        <v>1152</v>
      </c>
      <c r="B153" s="1" t="s">
        <v>12</v>
      </c>
      <c r="C153" s="1" t="s">
        <v>20</v>
      </c>
      <c r="D153" s="1" t="s">
        <v>15</v>
      </c>
      <c r="E153" s="1" t="s">
        <v>16</v>
      </c>
      <c r="F153" s="1">
        <v>9598</v>
      </c>
      <c r="G153" s="1">
        <v>8</v>
      </c>
      <c r="H153" s="1">
        <v>1454</v>
      </c>
      <c r="I153" s="1">
        <f>YEAR(Sales_Data[[#This Row],[Date]])</f>
        <v>2024</v>
      </c>
      <c r="J153" s="1" t="str">
        <f>TEXT(Sales_Data[[#This Row],[Date]],"mmmm")</f>
        <v>January</v>
      </c>
      <c r="K153" s="3">
        <f>Sales_Data[[#This Row],[Profit]]/Sales_Data[[#This Row],[Sales]]</f>
        <v>0.15148989372785998</v>
      </c>
      <c r="L153" s="1" t="str">
        <f>IF(Sales_Data[[#This Row],[Profit Margin
Profit/Sales]]&gt;0,"Profit","Loss")</f>
        <v>Profit</v>
      </c>
    </row>
    <row r="154" spans="1:12" x14ac:dyDescent="0.35">
      <c r="A154" s="1">
        <v>1153</v>
      </c>
      <c r="B154" s="1" t="s">
        <v>143</v>
      </c>
      <c r="C154" s="1" t="s">
        <v>27</v>
      </c>
      <c r="D154" s="1" t="s">
        <v>15</v>
      </c>
      <c r="E154" s="1" t="s">
        <v>21</v>
      </c>
      <c r="F154" s="1">
        <v>50630</v>
      </c>
      <c r="G154" s="1">
        <v>9</v>
      </c>
      <c r="H154" s="1">
        <v>3305</v>
      </c>
      <c r="I154" s="1">
        <f>YEAR(Sales_Data[[#This Row],[Date]])</f>
        <v>2024</v>
      </c>
      <c r="J154" s="1" t="str">
        <f>TEXT(Sales_Data[[#This Row],[Date]],"mmmm")</f>
        <v>August</v>
      </c>
      <c r="K154" s="3">
        <f>Sales_Data[[#This Row],[Profit]]/Sales_Data[[#This Row],[Sales]]</f>
        <v>6.5277503456448741E-2</v>
      </c>
      <c r="L154" s="1" t="str">
        <f>IF(Sales_Data[[#This Row],[Profit Margin
Profit/Sales]]&gt;0,"Profit","Loss")</f>
        <v>Profit</v>
      </c>
    </row>
    <row r="155" spans="1:12" x14ac:dyDescent="0.35">
      <c r="A155" s="1">
        <v>1154</v>
      </c>
      <c r="B155" s="1" t="s">
        <v>144</v>
      </c>
      <c r="C155" s="1" t="s">
        <v>27</v>
      </c>
      <c r="D155" s="1" t="s">
        <v>29</v>
      </c>
      <c r="E155" s="1" t="s">
        <v>41</v>
      </c>
      <c r="F155" s="1">
        <v>46929</v>
      </c>
      <c r="G155" s="1">
        <v>9</v>
      </c>
      <c r="H155" s="1">
        <v>538</v>
      </c>
      <c r="I155" s="1">
        <f>YEAR(Sales_Data[[#This Row],[Date]])</f>
        <v>2024</v>
      </c>
      <c r="J155" s="1" t="str">
        <f>TEXT(Sales_Data[[#This Row],[Date]],"mmmm")</f>
        <v>August</v>
      </c>
      <c r="K155" s="3">
        <f>Sales_Data[[#This Row],[Profit]]/Sales_Data[[#This Row],[Sales]]</f>
        <v>1.146412665942168E-2</v>
      </c>
      <c r="L155" s="1" t="str">
        <f>IF(Sales_Data[[#This Row],[Profit Margin
Profit/Sales]]&gt;0,"Profit","Loss")</f>
        <v>Profit</v>
      </c>
    </row>
    <row r="156" spans="1:12" x14ac:dyDescent="0.35">
      <c r="A156" s="1">
        <v>1155</v>
      </c>
      <c r="B156" s="1" t="s">
        <v>145</v>
      </c>
      <c r="C156" s="1" t="s">
        <v>9</v>
      </c>
      <c r="D156" s="1" t="s">
        <v>29</v>
      </c>
      <c r="E156" s="1" t="s">
        <v>41</v>
      </c>
      <c r="F156" s="1">
        <v>40331</v>
      </c>
      <c r="G156" s="1">
        <v>10</v>
      </c>
      <c r="H156" s="1">
        <v>9316</v>
      </c>
      <c r="I156" s="1">
        <f>YEAR(Sales_Data[[#This Row],[Date]])</f>
        <v>2024</v>
      </c>
      <c r="J156" s="1" t="str">
        <f>TEXT(Sales_Data[[#This Row],[Date]],"mmmm")</f>
        <v>May</v>
      </c>
      <c r="K156" s="3">
        <f>Sales_Data[[#This Row],[Profit]]/Sales_Data[[#This Row],[Sales]]</f>
        <v>0.2309885695866703</v>
      </c>
      <c r="L156" s="1" t="str">
        <f>IF(Sales_Data[[#This Row],[Profit Margin
Profit/Sales]]&gt;0,"Profit","Loss")</f>
        <v>Profit</v>
      </c>
    </row>
    <row r="157" spans="1:12" x14ac:dyDescent="0.35">
      <c r="A157" s="1">
        <v>1156</v>
      </c>
      <c r="B157" s="1" t="s">
        <v>33</v>
      </c>
      <c r="C157" s="1" t="s">
        <v>27</v>
      </c>
      <c r="D157" s="1" t="s">
        <v>10</v>
      </c>
      <c r="E157" s="1" t="s">
        <v>34</v>
      </c>
      <c r="F157" s="1">
        <v>40589</v>
      </c>
      <c r="G157" s="1">
        <v>4</v>
      </c>
      <c r="H157" s="1">
        <v>8806</v>
      </c>
      <c r="I157" s="1">
        <f>YEAR(Sales_Data[[#This Row],[Date]])</f>
        <v>2024</v>
      </c>
      <c r="J157" s="1" t="str">
        <f>TEXT(Sales_Data[[#This Row],[Date]],"mmmm")</f>
        <v>February</v>
      </c>
      <c r="K157" s="3">
        <f>Sales_Data[[#This Row],[Profit]]/Sales_Data[[#This Row],[Sales]]</f>
        <v>0.21695533272561532</v>
      </c>
      <c r="L157" s="1" t="str">
        <f>IF(Sales_Data[[#This Row],[Profit Margin
Profit/Sales]]&gt;0,"Profit","Loss")</f>
        <v>Profit</v>
      </c>
    </row>
    <row r="158" spans="1:12" x14ac:dyDescent="0.35">
      <c r="A158" s="1">
        <v>1157</v>
      </c>
      <c r="B158" s="1" t="s">
        <v>146</v>
      </c>
      <c r="C158" s="1" t="s">
        <v>23</v>
      </c>
      <c r="D158" s="1" t="s">
        <v>15</v>
      </c>
      <c r="E158" s="1" t="s">
        <v>18</v>
      </c>
      <c r="F158" s="1">
        <v>10094</v>
      </c>
      <c r="G158" s="1">
        <v>2</v>
      </c>
      <c r="H158" s="1">
        <v>1424</v>
      </c>
      <c r="I158" s="1">
        <f>YEAR(Sales_Data[[#This Row],[Date]])</f>
        <v>2024</v>
      </c>
      <c r="J158" s="1" t="str">
        <f>TEXT(Sales_Data[[#This Row],[Date]],"mmmm")</f>
        <v>July</v>
      </c>
      <c r="K158" s="3">
        <f>Sales_Data[[#This Row],[Profit]]/Sales_Data[[#This Row],[Sales]]</f>
        <v>0.14107390529027145</v>
      </c>
      <c r="L158" s="1" t="str">
        <f>IF(Sales_Data[[#This Row],[Profit Margin
Profit/Sales]]&gt;0,"Profit","Loss")</f>
        <v>Profit</v>
      </c>
    </row>
    <row r="159" spans="1:12" x14ac:dyDescent="0.35">
      <c r="A159" s="1">
        <v>1158</v>
      </c>
      <c r="B159" s="1" t="s">
        <v>147</v>
      </c>
      <c r="C159" s="1" t="s">
        <v>20</v>
      </c>
      <c r="D159" s="1" t="s">
        <v>29</v>
      </c>
      <c r="E159" s="1" t="s">
        <v>41</v>
      </c>
      <c r="F159" s="1">
        <v>22551</v>
      </c>
      <c r="G159" s="1">
        <v>6</v>
      </c>
      <c r="H159" s="1">
        <v>611</v>
      </c>
      <c r="I159" s="1">
        <f>YEAR(Sales_Data[[#This Row],[Date]])</f>
        <v>2024</v>
      </c>
      <c r="J159" s="1" t="str">
        <f>TEXT(Sales_Data[[#This Row],[Date]],"mmmm")</f>
        <v>February</v>
      </c>
      <c r="K159" s="3">
        <f>Sales_Data[[#This Row],[Profit]]/Sales_Data[[#This Row],[Sales]]</f>
        <v>2.7094142166644495E-2</v>
      </c>
      <c r="L159" s="1" t="str">
        <f>IF(Sales_Data[[#This Row],[Profit Margin
Profit/Sales]]&gt;0,"Profit","Loss")</f>
        <v>Profit</v>
      </c>
    </row>
    <row r="160" spans="1:12" x14ac:dyDescent="0.35">
      <c r="A160" s="1">
        <v>1159</v>
      </c>
      <c r="B160" s="1" t="s">
        <v>63</v>
      </c>
      <c r="C160" s="1" t="s">
        <v>9</v>
      </c>
      <c r="D160" s="1" t="s">
        <v>29</v>
      </c>
      <c r="E160" s="1" t="s">
        <v>30</v>
      </c>
      <c r="F160" s="1">
        <v>2377</v>
      </c>
      <c r="G160" s="1">
        <v>2</v>
      </c>
      <c r="H160" s="1">
        <v>509</v>
      </c>
      <c r="I160" s="1">
        <f>YEAR(Sales_Data[[#This Row],[Date]])</f>
        <v>2024</v>
      </c>
      <c r="J160" s="1" t="str">
        <f>TEXT(Sales_Data[[#This Row],[Date]],"mmmm")</f>
        <v>December</v>
      </c>
      <c r="K160" s="3">
        <f>Sales_Data[[#This Row],[Profit]]/Sales_Data[[#This Row],[Sales]]</f>
        <v>0.214135464871687</v>
      </c>
      <c r="L160" s="1" t="str">
        <f>IF(Sales_Data[[#This Row],[Profit Margin
Profit/Sales]]&gt;0,"Profit","Loss")</f>
        <v>Profit</v>
      </c>
    </row>
    <row r="161" spans="1:12" x14ac:dyDescent="0.35">
      <c r="A161" s="1">
        <v>1160</v>
      </c>
      <c r="B161" s="1" t="s">
        <v>148</v>
      </c>
      <c r="C161" s="1" t="s">
        <v>27</v>
      </c>
      <c r="D161" s="1" t="s">
        <v>15</v>
      </c>
      <c r="E161" s="1" t="s">
        <v>18</v>
      </c>
      <c r="F161" s="1">
        <v>54528</v>
      </c>
      <c r="G161" s="1">
        <v>10</v>
      </c>
      <c r="H161" s="1">
        <v>4008</v>
      </c>
      <c r="I161" s="1">
        <f>YEAR(Sales_Data[[#This Row],[Date]])</f>
        <v>2024</v>
      </c>
      <c r="J161" s="1" t="str">
        <f>TEXT(Sales_Data[[#This Row],[Date]],"mmmm")</f>
        <v>November</v>
      </c>
      <c r="K161" s="3">
        <f>Sales_Data[[#This Row],[Profit]]/Sales_Data[[#This Row],[Sales]]</f>
        <v>7.3503521126760563E-2</v>
      </c>
      <c r="L161" s="1" t="str">
        <f>IF(Sales_Data[[#This Row],[Profit Margin
Profit/Sales]]&gt;0,"Profit","Loss")</f>
        <v>Profit</v>
      </c>
    </row>
    <row r="162" spans="1:12" x14ac:dyDescent="0.35">
      <c r="A162" s="1">
        <v>1161</v>
      </c>
      <c r="B162" s="1" t="s">
        <v>149</v>
      </c>
      <c r="C162" s="1" t="s">
        <v>27</v>
      </c>
      <c r="D162" s="1" t="s">
        <v>10</v>
      </c>
      <c r="E162" s="1" t="s">
        <v>34</v>
      </c>
      <c r="F162" s="1">
        <v>22889</v>
      </c>
      <c r="G162" s="1">
        <v>4</v>
      </c>
      <c r="H162" s="1">
        <v>5454</v>
      </c>
      <c r="I162" s="1">
        <f>YEAR(Sales_Data[[#This Row],[Date]])</f>
        <v>2024</v>
      </c>
      <c r="J162" s="1" t="str">
        <f>TEXT(Sales_Data[[#This Row],[Date]],"mmmm")</f>
        <v>December</v>
      </c>
      <c r="K162" s="3">
        <f>Sales_Data[[#This Row],[Profit]]/Sales_Data[[#This Row],[Sales]]</f>
        <v>0.23828039669710341</v>
      </c>
      <c r="L162" s="1" t="str">
        <f>IF(Sales_Data[[#This Row],[Profit Margin
Profit/Sales]]&gt;0,"Profit","Loss")</f>
        <v>Profit</v>
      </c>
    </row>
    <row r="163" spans="1:12" x14ac:dyDescent="0.35">
      <c r="A163" s="1">
        <v>1162</v>
      </c>
      <c r="B163" s="1" t="s">
        <v>150</v>
      </c>
      <c r="C163" s="1" t="s">
        <v>23</v>
      </c>
      <c r="D163" s="1" t="s">
        <v>15</v>
      </c>
      <c r="E163" s="1" t="s">
        <v>18</v>
      </c>
      <c r="F163" s="1">
        <v>58708</v>
      </c>
      <c r="G163" s="1">
        <v>10</v>
      </c>
      <c r="H163" s="1">
        <v>862</v>
      </c>
      <c r="I163" s="1">
        <f>YEAR(Sales_Data[[#This Row],[Date]])</f>
        <v>2024</v>
      </c>
      <c r="J163" s="1" t="str">
        <f>TEXT(Sales_Data[[#This Row],[Date]],"mmmm")</f>
        <v>October</v>
      </c>
      <c r="K163" s="3">
        <f>Sales_Data[[#This Row],[Profit]]/Sales_Data[[#This Row],[Sales]]</f>
        <v>1.4682837092048784E-2</v>
      </c>
      <c r="L163" s="1" t="str">
        <f>IF(Sales_Data[[#This Row],[Profit Margin
Profit/Sales]]&gt;0,"Profit","Loss")</f>
        <v>Profit</v>
      </c>
    </row>
    <row r="164" spans="1:12" x14ac:dyDescent="0.35">
      <c r="A164" s="1">
        <v>1163</v>
      </c>
      <c r="B164" s="1" t="s">
        <v>151</v>
      </c>
      <c r="C164" s="1" t="s">
        <v>20</v>
      </c>
      <c r="D164" s="1" t="s">
        <v>29</v>
      </c>
      <c r="E164" s="1" t="s">
        <v>41</v>
      </c>
      <c r="F164" s="1">
        <v>44932</v>
      </c>
      <c r="G164" s="1">
        <v>9</v>
      </c>
      <c r="H164" s="1">
        <v>2458</v>
      </c>
      <c r="I164" s="1">
        <f>YEAR(Sales_Data[[#This Row],[Date]])</f>
        <v>2024</v>
      </c>
      <c r="J164" s="1" t="str">
        <f>TEXT(Sales_Data[[#This Row],[Date]],"mmmm")</f>
        <v>October</v>
      </c>
      <c r="K164" s="3">
        <f>Sales_Data[[#This Row],[Profit]]/Sales_Data[[#This Row],[Sales]]</f>
        <v>5.4704887385382359E-2</v>
      </c>
      <c r="L164" s="1" t="str">
        <f>IF(Sales_Data[[#This Row],[Profit Margin
Profit/Sales]]&gt;0,"Profit","Loss")</f>
        <v>Profit</v>
      </c>
    </row>
    <row r="165" spans="1:12" x14ac:dyDescent="0.35">
      <c r="A165" s="1">
        <v>1164</v>
      </c>
      <c r="B165" s="1" t="s">
        <v>109</v>
      </c>
      <c r="C165" s="1" t="s">
        <v>23</v>
      </c>
      <c r="D165" s="1" t="s">
        <v>10</v>
      </c>
      <c r="E165" s="1" t="s">
        <v>11</v>
      </c>
      <c r="F165" s="1">
        <v>8923</v>
      </c>
      <c r="G165" s="1">
        <v>5</v>
      </c>
      <c r="H165" s="1">
        <v>1033</v>
      </c>
      <c r="I165" s="1">
        <f>YEAR(Sales_Data[[#This Row],[Date]])</f>
        <v>2024</v>
      </c>
      <c r="J165" s="1" t="str">
        <f>TEXT(Sales_Data[[#This Row],[Date]],"mmmm")</f>
        <v>May</v>
      </c>
      <c r="K165" s="3">
        <f>Sales_Data[[#This Row],[Profit]]/Sales_Data[[#This Row],[Sales]]</f>
        <v>0.11576823938137398</v>
      </c>
      <c r="L165" s="1" t="str">
        <f>IF(Sales_Data[[#This Row],[Profit Margin
Profit/Sales]]&gt;0,"Profit","Loss")</f>
        <v>Profit</v>
      </c>
    </row>
    <row r="166" spans="1:12" x14ac:dyDescent="0.35">
      <c r="A166" s="1">
        <v>1165</v>
      </c>
      <c r="B166" s="1" t="s">
        <v>69</v>
      </c>
      <c r="C166" s="1" t="s">
        <v>23</v>
      </c>
      <c r="D166" s="1" t="s">
        <v>15</v>
      </c>
      <c r="E166" s="1" t="s">
        <v>21</v>
      </c>
      <c r="F166" s="1">
        <v>51418</v>
      </c>
      <c r="G166" s="1">
        <v>6</v>
      </c>
      <c r="H166" s="1">
        <v>9294</v>
      </c>
      <c r="I166" s="1">
        <f>YEAR(Sales_Data[[#This Row],[Date]])</f>
        <v>2024</v>
      </c>
      <c r="J166" s="1" t="str">
        <f>TEXT(Sales_Data[[#This Row],[Date]],"mmmm")</f>
        <v>October</v>
      </c>
      <c r="K166" s="3">
        <f>Sales_Data[[#This Row],[Profit]]/Sales_Data[[#This Row],[Sales]]</f>
        <v>0.18075382161888834</v>
      </c>
      <c r="L166" s="1" t="str">
        <f>IF(Sales_Data[[#This Row],[Profit Margin
Profit/Sales]]&gt;0,"Profit","Loss")</f>
        <v>Profit</v>
      </c>
    </row>
    <row r="167" spans="1:12" x14ac:dyDescent="0.35">
      <c r="A167" s="1">
        <v>1166</v>
      </c>
      <c r="B167" s="1" t="s">
        <v>152</v>
      </c>
      <c r="C167" s="1" t="s">
        <v>23</v>
      </c>
      <c r="D167" s="1" t="s">
        <v>29</v>
      </c>
      <c r="E167" s="1" t="s">
        <v>49</v>
      </c>
      <c r="F167" s="1">
        <v>38066</v>
      </c>
      <c r="G167" s="1">
        <v>4</v>
      </c>
      <c r="H167" s="1">
        <v>2182</v>
      </c>
      <c r="I167" s="1">
        <f>YEAR(Sales_Data[[#This Row],[Date]])</f>
        <v>2024</v>
      </c>
      <c r="J167" s="1" t="str">
        <f>TEXT(Sales_Data[[#This Row],[Date]],"mmmm")</f>
        <v>September</v>
      </c>
      <c r="K167" s="3">
        <f>Sales_Data[[#This Row],[Profit]]/Sales_Data[[#This Row],[Sales]]</f>
        <v>5.7321494246834442E-2</v>
      </c>
      <c r="L167" s="1" t="str">
        <f>IF(Sales_Data[[#This Row],[Profit Margin
Profit/Sales]]&gt;0,"Profit","Loss")</f>
        <v>Profit</v>
      </c>
    </row>
    <row r="168" spans="1:12" x14ac:dyDescent="0.35">
      <c r="A168" s="1">
        <v>1167</v>
      </c>
      <c r="B168" s="1" t="s">
        <v>153</v>
      </c>
      <c r="C168" s="1" t="s">
        <v>9</v>
      </c>
      <c r="D168" s="1" t="s">
        <v>10</v>
      </c>
      <c r="E168" s="1" t="s">
        <v>13</v>
      </c>
      <c r="F168" s="1">
        <v>14883</v>
      </c>
      <c r="G168" s="1">
        <v>4</v>
      </c>
      <c r="H168" s="1">
        <v>1336</v>
      </c>
      <c r="I168" s="1">
        <f>YEAR(Sales_Data[[#This Row],[Date]])</f>
        <v>2024</v>
      </c>
      <c r="J168" s="1" t="str">
        <f>TEXT(Sales_Data[[#This Row],[Date]],"mmmm")</f>
        <v>February</v>
      </c>
      <c r="K168" s="3">
        <f>Sales_Data[[#This Row],[Profit]]/Sales_Data[[#This Row],[Sales]]</f>
        <v>8.9766848081703959E-2</v>
      </c>
      <c r="L168" s="1" t="str">
        <f>IF(Sales_Data[[#This Row],[Profit Margin
Profit/Sales]]&gt;0,"Profit","Loss")</f>
        <v>Profit</v>
      </c>
    </row>
    <row r="169" spans="1:12" x14ac:dyDescent="0.35">
      <c r="A169" s="1">
        <v>1168</v>
      </c>
      <c r="B169" s="1" t="s">
        <v>154</v>
      </c>
      <c r="C169" s="1" t="s">
        <v>20</v>
      </c>
      <c r="D169" s="1" t="s">
        <v>10</v>
      </c>
      <c r="E169" s="1" t="s">
        <v>13</v>
      </c>
      <c r="F169" s="1">
        <v>7679</v>
      </c>
      <c r="G169" s="1">
        <v>3</v>
      </c>
      <c r="H169" s="1">
        <v>1042</v>
      </c>
      <c r="I169" s="1">
        <f>YEAR(Sales_Data[[#This Row],[Date]])</f>
        <v>2024</v>
      </c>
      <c r="J169" s="1" t="str">
        <f>TEXT(Sales_Data[[#This Row],[Date]],"mmmm")</f>
        <v>February</v>
      </c>
      <c r="K169" s="3">
        <f>Sales_Data[[#This Row],[Profit]]/Sales_Data[[#This Row],[Sales]]</f>
        <v>0.13569475192082303</v>
      </c>
      <c r="L169" s="1" t="str">
        <f>IF(Sales_Data[[#This Row],[Profit Margin
Profit/Sales]]&gt;0,"Profit","Loss")</f>
        <v>Profit</v>
      </c>
    </row>
    <row r="170" spans="1:12" x14ac:dyDescent="0.35">
      <c r="A170" s="1">
        <v>1169</v>
      </c>
      <c r="B170" s="1" t="s">
        <v>155</v>
      </c>
      <c r="C170" s="1" t="s">
        <v>27</v>
      </c>
      <c r="D170" s="1" t="s">
        <v>15</v>
      </c>
      <c r="E170" s="1" t="s">
        <v>16</v>
      </c>
      <c r="F170" s="1">
        <v>30077</v>
      </c>
      <c r="G170" s="1">
        <v>9</v>
      </c>
      <c r="H170" s="1">
        <v>1410</v>
      </c>
      <c r="I170" s="1">
        <f>YEAR(Sales_Data[[#This Row],[Date]])</f>
        <v>2024</v>
      </c>
      <c r="J170" s="1" t="str">
        <f>TEXT(Sales_Data[[#This Row],[Date]],"mmmm")</f>
        <v>January</v>
      </c>
      <c r="K170" s="3">
        <f>Sales_Data[[#This Row],[Profit]]/Sales_Data[[#This Row],[Sales]]</f>
        <v>4.6879675499551153E-2</v>
      </c>
      <c r="L170" s="1" t="str">
        <f>IF(Sales_Data[[#This Row],[Profit Margin
Profit/Sales]]&gt;0,"Profit","Loss")</f>
        <v>Profit</v>
      </c>
    </row>
    <row r="171" spans="1:12" x14ac:dyDescent="0.35">
      <c r="A171" s="1">
        <v>1170</v>
      </c>
      <c r="B171" s="1" t="s">
        <v>156</v>
      </c>
      <c r="C171" s="1" t="s">
        <v>27</v>
      </c>
      <c r="D171" s="1" t="s">
        <v>10</v>
      </c>
      <c r="E171" s="1" t="s">
        <v>11</v>
      </c>
      <c r="F171" s="1">
        <v>53703</v>
      </c>
      <c r="G171" s="1">
        <v>3</v>
      </c>
      <c r="H171" s="1">
        <v>716</v>
      </c>
      <c r="I171" s="1">
        <f>YEAR(Sales_Data[[#This Row],[Date]])</f>
        <v>2024</v>
      </c>
      <c r="J171" s="1" t="str">
        <f>TEXT(Sales_Data[[#This Row],[Date]],"mmmm")</f>
        <v>March</v>
      </c>
      <c r="K171" s="3">
        <f>Sales_Data[[#This Row],[Profit]]/Sales_Data[[#This Row],[Sales]]</f>
        <v>1.3332588495987188E-2</v>
      </c>
      <c r="L171" s="1" t="str">
        <f>IF(Sales_Data[[#This Row],[Profit Margin
Profit/Sales]]&gt;0,"Profit","Loss")</f>
        <v>Profit</v>
      </c>
    </row>
    <row r="172" spans="1:12" x14ac:dyDescent="0.35">
      <c r="A172" s="1">
        <v>1171</v>
      </c>
      <c r="B172" s="1" t="s">
        <v>157</v>
      </c>
      <c r="C172" s="1" t="s">
        <v>20</v>
      </c>
      <c r="D172" s="1" t="s">
        <v>29</v>
      </c>
      <c r="E172" s="1" t="s">
        <v>41</v>
      </c>
      <c r="F172" s="1">
        <v>28130</v>
      </c>
      <c r="G172" s="1">
        <v>1</v>
      </c>
      <c r="H172" s="1">
        <v>6054</v>
      </c>
      <c r="I172" s="1">
        <f>YEAR(Sales_Data[[#This Row],[Date]])</f>
        <v>2024</v>
      </c>
      <c r="J172" s="1" t="str">
        <f>TEXT(Sales_Data[[#This Row],[Date]],"mmmm")</f>
        <v>June</v>
      </c>
      <c r="K172" s="3">
        <f>Sales_Data[[#This Row],[Profit]]/Sales_Data[[#This Row],[Sales]]</f>
        <v>0.21521507287593317</v>
      </c>
      <c r="L172" s="1" t="str">
        <f>IF(Sales_Data[[#This Row],[Profit Margin
Profit/Sales]]&gt;0,"Profit","Loss")</f>
        <v>Profit</v>
      </c>
    </row>
    <row r="173" spans="1:12" x14ac:dyDescent="0.35">
      <c r="A173" s="1">
        <v>1172</v>
      </c>
      <c r="B173" s="1" t="s">
        <v>158</v>
      </c>
      <c r="C173" s="1" t="s">
        <v>27</v>
      </c>
      <c r="D173" s="1" t="s">
        <v>15</v>
      </c>
      <c r="E173" s="1" t="s">
        <v>16</v>
      </c>
      <c r="F173" s="1">
        <v>52683</v>
      </c>
      <c r="G173" s="1">
        <v>3</v>
      </c>
      <c r="H173" s="1">
        <v>4869</v>
      </c>
      <c r="I173" s="1">
        <f>YEAR(Sales_Data[[#This Row],[Date]])</f>
        <v>2024</v>
      </c>
      <c r="J173" s="1" t="str">
        <f>TEXT(Sales_Data[[#This Row],[Date]],"mmmm")</f>
        <v>June</v>
      </c>
      <c r="K173" s="3">
        <f>Sales_Data[[#This Row],[Profit]]/Sales_Data[[#This Row],[Sales]]</f>
        <v>9.2420704971243092E-2</v>
      </c>
      <c r="L173" s="1" t="str">
        <f>IF(Sales_Data[[#This Row],[Profit Margin
Profit/Sales]]&gt;0,"Profit","Loss")</f>
        <v>Profit</v>
      </c>
    </row>
    <row r="174" spans="1:12" x14ac:dyDescent="0.35">
      <c r="A174" s="1">
        <v>1173</v>
      </c>
      <c r="B174" s="1" t="s">
        <v>98</v>
      </c>
      <c r="C174" s="1" t="s">
        <v>20</v>
      </c>
      <c r="D174" s="1" t="s">
        <v>10</v>
      </c>
      <c r="E174" s="1" t="s">
        <v>34</v>
      </c>
      <c r="F174" s="1">
        <v>17688</v>
      </c>
      <c r="G174" s="1">
        <v>7</v>
      </c>
      <c r="H174" s="1">
        <v>1324</v>
      </c>
      <c r="I174" s="1">
        <f>YEAR(Sales_Data[[#This Row],[Date]])</f>
        <v>2024</v>
      </c>
      <c r="J174" s="1" t="str">
        <f>TEXT(Sales_Data[[#This Row],[Date]],"mmmm")</f>
        <v>December</v>
      </c>
      <c r="K174" s="3">
        <f>Sales_Data[[#This Row],[Profit]]/Sales_Data[[#This Row],[Sales]]</f>
        <v>7.4853007688828591E-2</v>
      </c>
      <c r="L174" s="1" t="str">
        <f>IF(Sales_Data[[#This Row],[Profit Margin
Profit/Sales]]&gt;0,"Profit","Loss")</f>
        <v>Profit</v>
      </c>
    </row>
    <row r="175" spans="1:12" x14ac:dyDescent="0.35">
      <c r="A175" s="1">
        <v>1174</v>
      </c>
      <c r="B175" s="1" t="s">
        <v>119</v>
      </c>
      <c r="C175" s="1" t="s">
        <v>9</v>
      </c>
      <c r="D175" s="1" t="s">
        <v>29</v>
      </c>
      <c r="E175" s="1" t="s">
        <v>49</v>
      </c>
      <c r="F175" s="1">
        <v>57459</v>
      </c>
      <c r="G175" s="1">
        <v>6</v>
      </c>
      <c r="H175" s="1">
        <v>5394</v>
      </c>
      <c r="I175" s="1">
        <f>YEAR(Sales_Data[[#This Row],[Date]])</f>
        <v>2024</v>
      </c>
      <c r="J175" s="1" t="str">
        <f>TEXT(Sales_Data[[#This Row],[Date]],"mmmm")</f>
        <v>January</v>
      </c>
      <c r="K175" s="3">
        <f>Sales_Data[[#This Row],[Profit]]/Sales_Data[[#This Row],[Sales]]</f>
        <v>9.3875633060095026E-2</v>
      </c>
      <c r="L175" s="1" t="str">
        <f>IF(Sales_Data[[#This Row],[Profit Margin
Profit/Sales]]&gt;0,"Profit","Loss")</f>
        <v>Profit</v>
      </c>
    </row>
    <row r="176" spans="1:12" x14ac:dyDescent="0.35">
      <c r="A176" s="1">
        <v>1175</v>
      </c>
      <c r="B176" s="1" t="s">
        <v>31</v>
      </c>
      <c r="C176" s="1" t="s">
        <v>27</v>
      </c>
      <c r="D176" s="1" t="s">
        <v>29</v>
      </c>
      <c r="E176" s="1" t="s">
        <v>41</v>
      </c>
      <c r="F176" s="1">
        <v>16280</v>
      </c>
      <c r="G176" s="1">
        <v>10</v>
      </c>
      <c r="H176" s="1">
        <v>2268</v>
      </c>
      <c r="I176" s="1">
        <f>YEAR(Sales_Data[[#This Row],[Date]])</f>
        <v>2024</v>
      </c>
      <c r="J176" s="1" t="str">
        <f>TEXT(Sales_Data[[#This Row],[Date]],"mmmm")</f>
        <v>November</v>
      </c>
      <c r="K176" s="3">
        <f>Sales_Data[[#This Row],[Profit]]/Sales_Data[[#This Row],[Sales]]</f>
        <v>0.13931203931203931</v>
      </c>
      <c r="L176" s="1" t="str">
        <f>IF(Sales_Data[[#This Row],[Profit Margin
Profit/Sales]]&gt;0,"Profit","Loss")</f>
        <v>Profit</v>
      </c>
    </row>
    <row r="177" spans="1:12" x14ac:dyDescent="0.35">
      <c r="A177" s="1">
        <v>1176</v>
      </c>
      <c r="B177" s="1" t="s">
        <v>159</v>
      </c>
      <c r="C177" s="1" t="s">
        <v>20</v>
      </c>
      <c r="D177" s="1" t="s">
        <v>29</v>
      </c>
      <c r="E177" s="1" t="s">
        <v>41</v>
      </c>
      <c r="F177" s="1">
        <v>20164</v>
      </c>
      <c r="G177" s="1">
        <v>5</v>
      </c>
      <c r="H177" s="1">
        <v>987</v>
      </c>
      <c r="I177" s="1">
        <f>YEAR(Sales_Data[[#This Row],[Date]])</f>
        <v>2024</v>
      </c>
      <c r="J177" s="1" t="str">
        <f>TEXT(Sales_Data[[#This Row],[Date]],"mmmm")</f>
        <v>October</v>
      </c>
      <c r="K177" s="3">
        <f>Sales_Data[[#This Row],[Profit]]/Sales_Data[[#This Row],[Sales]]</f>
        <v>4.894862130529657E-2</v>
      </c>
      <c r="L177" s="1" t="str">
        <f>IF(Sales_Data[[#This Row],[Profit Margin
Profit/Sales]]&gt;0,"Profit","Loss")</f>
        <v>Profit</v>
      </c>
    </row>
    <row r="178" spans="1:12" x14ac:dyDescent="0.35">
      <c r="A178" s="1">
        <v>1177</v>
      </c>
      <c r="B178" s="1" t="s">
        <v>160</v>
      </c>
      <c r="C178" s="1" t="s">
        <v>9</v>
      </c>
      <c r="D178" s="1" t="s">
        <v>29</v>
      </c>
      <c r="E178" s="1" t="s">
        <v>30</v>
      </c>
      <c r="F178" s="1">
        <v>45330</v>
      </c>
      <c r="G178" s="1">
        <v>4</v>
      </c>
      <c r="H178" s="1">
        <v>8625</v>
      </c>
      <c r="I178" s="1">
        <f>YEAR(Sales_Data[[#This Row],[Date]])</f>
        <v>2024</v>
      </c>
      <c r="J178" s="1" t="str">
        <f>TEXT(Sales_Data[[#This Row],[Date]],"mmmm")</f>
        <v>November</v>
      </c>
      <c r="K178" s="3">
        <f>Sales_Data[[#This Row],[Profit]]/Sales_Data[[#This Row],[Sales]]</f>
        <v>0.19027134348113831</v>
      </c>
      <c r="L178" s="1" t="str">
        <f>IF(Sales_Data[[#This Row],[Profit Margin
Profit/Sales]]&gt;0,"Profit","Loss")</f>
        <v>Profit</v>
      </c>
    </row>
    <row r="179" spans="1:12" x14ac:dyDescent="0.35">
      <c r="A179" s="1">
        <v>1178</v>
      </c>
      <c r="B179" s="1" t="s">
        <v>161</v>
      </c>
      <c r="C179" s="1" t="s">
        <v>23</v>
      </c>
      <c r="D179" s="1" t="s">
        <v>10</v>
      </c>
      <c r="E179" s="1" t="s">
        <v>13</v>
      </c>
      <c r="F179" s="1">
        <v>10211</v>
      </c>
      <c r="G179" s="1">
        <v>4</v>
      </c>
      <c r="H179" s="1">
        <v>2316</v>
      </c>
      <c r="I179" s="1">
        <f>YEAR(Sales_Data[[#This Row],[Date]])</f>
        <v>2024</v>
      </c>
      <c r="J179" s="1" t="str">
        <f>TEXT(Sales_Data[[#This Row],[Date]],"mmmm")</f>
        <v>January</v>
      </c>
      <c r="K179" s="3">
        <f>Sales_Data[[#This Row],[Profit]]/Sales_Data[[#This Row],[Sales]]</f>
        <v>0.22681421995886789</v>
      </c>
      <c r="L179" s="1" t="str">
        <f>IF(Sales_Data[[#This Row],[Profit Margin
Profit/Sales]]&gt;0,"Profit","Loss")</f>
        <v>Profit</v>
      </c>
    </row>
    <row r="180" spans="1:12" x14ac:dyDescent="0.35">
      <c r="A180" s="1">
        <v>1179</v>
      </c>
      <c r="B180" s="1" t="s">
        <v>138</v>
      </c>
      <c r="C180" s="1" t="s">
        <v>23</v>
      </c>
      <c r="D180" s="1" t="s">
        <v>29</v>
      </c>
      <c r="E180" s="1" t="s">
        <v>41</v>
      </c>
      <c r="F180" s="1">
        <v>9806</v>
      </c>
      <c r="G180" s="1">
        <v>1</v>
      </c>
      <c r="H180" s="1">
        <v>1545</v>
      </c>
      <c r="I180" s="1">
        <f>YEAR(Sales_Data[[#This Row],[Date]])</f>
        <v>2024</v>
      </c>
      <c r="J180" s="1" t="str">
        <f>TEXT(Sales_Data[[#This Row],[Date]],"mmmm")</f>
        <v>November</v>
      </c>
      <c r="K180" s="3">
        <f>Sales_Data[[#This Row],[Profit]]/Sales_Data[[#This Row],[Sales]]</f>
        <v>0.15755659800122374</v>
      </c>
      <c r="L180" s="1" t="str">
        <f>IF(Sales_Data[[#This Row],[Profit Margin
Profit/Sales]]&gt;0,"Profit","Loss")</f>
        <v>Profit</v>
      </c>
    </row>
    <row r="181" spans="1:12" x14ac:dyDescent="0.35">
      <c r="A181" s="1">
        <v>1180</v>
      </c>
      <c r="B181" s="1" t="s">
        <v>104</v>
      </c>
      <c r="C181" s="1" t="s">
        <v>23</v>
      </c>
      <c r="D181" s="1" t="s">
        <v>10</v>
      </c>
      <c r="E181" s="1" t="s">
        <v>34</v>
      </c>
      <c r="F181" s="1">
        <v>58133</v>
      </c>
      <c r="G181" s="1">
        <v>8</v>
      </c>
      <c r="H181" s="1">
        <v>232</v>
      </c>
      <c r="I181" s="1">
        <f>YEAR(Sales_Data[[#This Row],[Date]])</f>
        <v>2024</v>
      </c>
      <c r="J181" s="1" t="str">
        <f>TEXT(Sales_Data[[#This Row],[Date]],"mmmm")</f>
        <v>August</v>
      </c>
      <c r="K181" s="3">
        <f>Sales_Data[[#This Row],[Profit]]/Sales_Data[[#This Row],[Sales]]</f>
        <v>3.9908485713794229E-3</v>
      </c>
      <c r="L181" s="1" t="str">
        <f>IF(Sales_Data[[#This Row],[Profit Margin
Profit/Sales]]&gt;0,"Profit","Loss")</f>
        <v>Profit</v>
      </c>
    </row>
    <row r="182" spans="1:12" x14ac:dyDescent="0.35">
      <c r="A182" s="1">
        <v>1181</v>
      </c>
      <c r="B182" s="1" t="s">
        <v>162</v>
      </c>
      <c r="C182" s="1" t="s">
        <v>9</v>
      </c>
      <c r="D182" s="1" t="s">
        <v>15</v>
      </c>
      <c r="E182" s="1" t="s">
        <v>18</v>
      </c>
      <c r="F182" s="1">
        <v>37919</v>
      </c>
      <c r="G182" s="1">
        <v>8</v>
      </c>
      <c r="H182" s="1">
        <v>8955</v>
      </c>
      <c r="I182" s="1">
        <f>YEAR(Sales_Data[[#This Row],[Date]])</f>
        <v>2024</v>
      </c>
      <c r="J182" s="1" t="str">
        <f>TEXT(Sales_Data[[#This Row],[Date]],"mmmm")</f>
        <v>September</v>
      </c>
      <c r="K182" s="3">
        <f>Sales_Data[[#This Row],[Profit]]/Sales_Data[[#This Row],[Sales]]</f>
        <v>0.23616129117329043</v>
      </c>
      <c r="L182" s="1" t="str">
        <f>IF(Sales_Data[[#This Row],[Profit Margin
Profit/Sales]]&gt;0,"Profit","Loss")</f>
        <v>Profit</v>
      </c>
    </row>
    <row r="183" spans="1:12" x14ac:dyDescent="0.35">
      <c r="A183" s="1">
        <v>1182</v>
      </c>
      <c r="B183" s="1" t="s">
        <v>163</v>
      </c>
      <c r="C183" s="1" t="s">
        <v>20</v>
      </c>
      <c r="D183" s="1" t="s">
        <v>15</v>
      </c>
      <c r="E183" s="1" t="s">
        <v>18</v>
      </c>
      <c r="F183" s="1">
        <v>41811</v>
      </c>
      <c r="G183" s="1">
        <v>2</v>
      </c>
      <c r="H183" s="1">
        <v>2160</v>
      </c>
      <c r="I183" s="1">
        <f>YEAR(Sales_Data[[#This Row],[Date]])</f>
        <v>2024</v>
      </c>
      <c r="J183" s="1" t="str">
        <f>TEXT(Sales_Data[[#This Row],[Date]],"mmmm")</f>
        <v>March</v>
      </c>
      <c r="K183" s="3">
        <f>Sales_Data[[#This Row],[Profit]]/Sales_Data[[#This Row],[Sales]]</f>
        <v>5.166104613618426E-2</v>
      </c>
      <c r="L183" s="1" t="str">
        <f>IF(Sales_Data[[#This Row],[Profit Margin
Profit/Sales]]&gt;0,"Profit","Loss")</f>
        <v>Profit</v>
      </c>
    </row>
    <row r="184" spans="1:12" x14ac:dyDescent="0.35">
      <c r="A184" s="1">
        <v>1183</v>
      </c>
      <c r="B184" s="1" t="s">
        <v>164</v>
      </c>
      <c r="C184" s="1" t="s">
        <v>20</v>
      </c>
      <c r="D184" s="1" t="s">
        <v>10</v>
      </c>
      <c r="E184" s="1" t="s">
        <v>11</v>
      </c>
      <c r="F184" s="1">
        <v>12027</v>
      </c>
      <c r="G184" s="1">
        <v>8</v>
      </c>
      <c r="H184" s="1">
        <v>2600</v>
      </c>
      <c r="I184" s="1">
        <f>YEAR(Sales_Data[[#This Row],[Date]])</f>
        <v>2024</v>
      </c>
      <c r="J184" s="1" t="str">
        <f>TEXT(Sales_Data[[#This Row],[Date]],"mmmm")</f>
        <v>January</v>
      </c>
      <c r="K184" s="3">
        <f>Sales_Data[[#This Row],[Profit]]/Sales_Data[[#This Row],[Sales]]</f>
        <v>0.21618026107923838</v>
      </c>
      <c r="L184" s="1" t="str">
        <f>IF(Sales_Data[[#This Row],[Profit Margin
Profit/Sales]]&gt;0,"Profit","Loss")</f>
        <v>Profit</v>
      </c>
    </row>
    <row r="185" spans="1:12" x14ac:dyDescent="0.35">
      <c r="A185" s="1">
        <v>1184</v>
      </c>
      <c r="B185" s="1" t="s">
        <v>107</v>
      </c>
      <c r="C185" s="1" t="s">
        <v>27</v>
      </c>
      <c r="D185" s="1" t="s">
        <v>10</v>
      </c>
      <c r="E185" s="1" t="s">
        <v>11</v>
      </c>
      <c r="F185" s="1">
        <v>3325</v>
      </c>
      <c r="G185" s="1">
        <v>5</v>
      </c>
      <c r="H185" s="1">
        <v>433</v>
      </c>
      <c r="I185" s="1">
        <f>YEAR(Sales_Data[[#This Row],[Date]])</f>
        <v>2024</v>
      </c>
      <c r="J185" s="1" t="str">
        <f>TEXT(Sales_Data[[#This Row],[Date]],"mmmm")</f>
        <v>April</v>
      </c>
      <c r="K185" s="3">
        <f>Sales_Data[[#This Row],[Profit]]/Sales_Data[[#This Row],[Sales]]</f>
        <v>0.13022556390977444</v>
      </c>
      <c r="L185" s="1" t="str">
        <f>IF(Sales_Data[[#This Row],[Profit Margin
Profit/Sales]]&gt;0,"Profit","Loss")</f>
        <v>Profit</v>
      </c>
    </row>
    <row r="186" spans="1:12" x14ac:dyDescent="0.35">
      <c r="A186" s="1">
        <v>1185</v>
      </c>
      <c r="B186" s="1" t="s">
        <v>82</v>
      </c>
      <c r="C186" s="1" t="s">
        <v>9</v>
      </c>
      <c r="D186" s="1" t="s">
        <v>15</v>
      </c>
      <c r="E186" s="1" t="s">
        <v>16</v>
      </c>
      <c r="F186" s="1">
        <v>25322</v>
      </c>
      <c r="G186" s="1">
        <v>6</v>
      </c>
      <c r="H186" s="1">
        <v>7059</v>
      </c>
      <c r="I186" s="1">
        <f>YEAR(Sales_Data[[#This Row],[Date]])</f>
        <v>2024</v>
      </c>
      <c r="J186" s="1" t="str">
        <f>TEXT(Sales_Data[[#This Row],[Date]],"mmmm")</f>
        <v>June</v>
      </c>
      <c r="K186" s="3">
        <f>Sales_Data[[#This Row],[Profit]]/Sales_Data[[#This Row],[Sales]]</f>
        <v>0.27876944949056159</v>
      </c>
      <c r="L186" s="1" t="str">
        <f>IF(Sales_Data[[#This Row],[Profit Margin
Profit/Sales]]&gt;0,"Profit","Loss")</f>
        <v>Profit</v>
      </c>
    </row>
    <row r="187" spans="1:12" x14ac:dyDescent="0.35">
      <c r="A187" s="1">
        <v>1186</v>
      </c>
      <c r="B187" s="1" t="s">
        <v>8</v>
      </c>
      <c r="C187" s="1" t="s">
        <v>20</v>
      </c>
      <c r="D187" s="1" t="s">
        <v>10</v>
      </c>
      <c r="E187" s="1" t="s">
        <v>11</v>
      </c>
      <c r="F187" s="1">
        <v>16619</v>
      </c>
      <c r="G187" s="1">
        <v>4</v>
      </c>
      <c r="H187" s="1">
        <v>4075</v>
      </c>
      <c r="I187" s="1">
        <f>YEAR(Sales_Data[[#This Row],[Date]])</f>
        <v>2024</v>
      </c>
      <c r="J187" s="1" t="str">
        <f>TEXT(Sales_Data[[#This Row],[Date]],"mmmm")</f>
        <v>September</v>
      </c>
      <c r="K187" s="3">
        <f>Sales_Data[[#This Row],[Profit]]/Sales_Data[[#This Row],[Sales]]</f>
        <v>0.24520127564835428</v>
      </c>
      <c r="L187" s="1" t="str">
        <f>IF(Sales_Data[[#This Row],[Profit Margin
Profit/Sales]]&gt;0,"Profit","Loss")</f>
        <v>Profit</v>
      </c>
    </row>
    <row r="188" spans="1:12" x14ac:dyDescent="0.35">
      <c r="A188" s="1">
        <v>1187</v>
      </c>
      <c r="B188" s="1" t="s">
        <v>165</v>
      </c>
      <c r="C188" s="1" t="s">
        <v>9</v>
      </c>
      <c r="D188" s="1" t="s">
        <v>15</v>
      </c>
      <c r="E188" s="1" t="s">
        <v>21</v>
      </c>
      <c r="F188" s="1">
        <v>11087</v>
      </c>
      <c r="G188" s="1">
        <v>5</v>
      </c>
      <c r="H188" s="1">
        <v>2157</v>
      </c>
      <c r="I188" s="1">
        <f>YEAR(Sales_Data[[#This Row],[Date]])</f>
        <v>2024</v>
      </c>
      <c r="J188" s="1" t="str">
        <f>TEXT(Sales_Data[[#This Row],[Date]],"mmmm")</f>
        <v>December</v>
      </c>
      <c r="K188" s="3">
        <f>Sales_Data[[#This Row],[Profit]]/Sales_Data[[#This Row],[Sales]]</f>
        <v>0.19455217822675205</v>
      </c>
      <c r="L188" s="1" t="str">
        <f>IF(Sales_Data[[#This Row],[Profit Margin
Profit/Sales]]&gt;0,"Profit","Loss")</f>
        <v>Profit</v>
      </c>
    </row>
    <row r="189" spans="1:12" x14ac:dyDescent="0.35">
      <c r="A189" s="1">
        <v>1188</v>
      </c>
      <c r="B189" s="1" t="s">
        <v>14</v>
      </c>
      <c r="C189" s="1" t="s">
        <v>9</v>
      </c>
      <c r="D189" s="1" t="s">
        <v>15</v>
      </c>
      <c r="E189" s="1" t="s">
        <v>18</v>
      </c>
      <c r="F189" s="1">
        <v>7339</v>
      </c>
      <c r="G189" s="1">
        <v>7</v>
      </c>
      <c r="H189" s="1">
        <v>2049</v>
      </c>
      <c r="I189" s="1">
        <f>YEAR(Sales_Data[[#This Row],[Date]])</f>
        <v>2024</v>
      </c>
      <c r="J189" s="1" t="str">
        <f>TEXT(Sales_Data[[#This Row],[Date]],"mmmm")</f>
        <v>January</v>
      </c>
      <c r="K189" s="3">
        <f>Sales_Data[[#This Row],[Profit]]/Sales_Data[[#This Row],[Sales]]</f>
        <v>0.27919335059272382</v>
      </c>
      <c r="L189" s="1" t="str">
        <f>IF(Sales_Data[[#This Row],[Profit Margin
Profit/Sales]]&gt;0,"Profit","Loss")</f>
        <v>Profit</v>
      </c>
    </row>
    <row r="190" spans="1:12" x14ac:dyDescent="0.35">
      <c r="A190" s="1">
        <v>1189</v>
      </c>
      <c r="B190" s="1" t="s">
        <v>166</v>
      </c>
      <c r="C190" s="1" t="s">
        <v>27</v>
      </c>
      <c r="D190" s="1" t="s">
        <v>15</v>
      </c>
      <c r="E190" s="1" t="s">
        <v>16</v>
      </c>
      <c r="F190" s="1">
        <v>22112</v>
      </c>
      <c r="G190" s="1">
        <v>8</v>
      </c>
      <c r="H190" s="1">
        <v>4466</v>
      </c>
      <c r="I190" s="1">
        <f>YEAR(Sales_Data[[#This Row],[Date]])</f>
        <v>2024</v>
      </c>
      <c r="J190" s="1" t="str">
        <f>TEXT(Sales_Data[[#This Row],[Date]],"mmmm")</f>
        <v>May</v>
      </c>
      <c r="K190" s="3">
        <f>Sales_Data[[#This Row],[Profit]]/Sales_Data[[#This Row],[Sales]]</f>
        <v>0.20197178002894356</v>
      </c>
      <c r="L190" s="1" t="str">
        <f>IF(Sales_Data[[#This Row],[Profit Margin
Profit/Sales]]&gt;0,"Profit","Loss")</f>
        <v>Profit</v>
      </c>
    </row>
    <row r="191" spans="1:12" x14ac:dyDescent="0.35">
      <c r="A191" s="1">
        <v>1190</v>
      </c>
      <c r="B191" s="1" t="s">
        <v>167</v>
      </c>
      <c r="C191" s="1" t="s">
        <v>9</v>
      </c>
      <c r="D191" s="1" t="s">
        <v>10</v>
      </c>
      <c r="E191" s="1" t="s">
        <v>11</v>
      </c>
      <c r="F191" s="1">
        <v>15556</v>
      </c>
      <c r="G191" s="1">
        <v>10</v>
      </c>
      <c r="H191" s="1">
        <v>2659</v>
      </c>
      <c r="I191" s="1">
        <f>YEAR(Sales_Data[[#This Row],[Date]])</f>
        <v>2024</v>
      </c>
      <c r="J191" s="1" t="str">
        <f>TEXT(Sales_Data[[#This Row],[Date]],"mmmm")</f>
        <v>February</v>
      </c>
      <c r="K191" s="3">
        <f>Sales_Data[[#This Row],[Profit]]/Sales_Data[[#This Row],[Sales]]</f>
        <v>0.17093083054769864</v>
      </c>
      <c r="L191" s="1" t="str">
        <f>IF(Sales_Data[[#This Row],[Profit Margin
Profit/Sales]]&gt;0,"Profit","Loss")</f>
        <v>Profit</v>
      </c>
    </row>
    <row r="192" spans="1:12" x14ac:dyDescent="0.35">
      <c r="A192" s="1">
        <v>1191</v>
      </c>
      <c r="B192" s="1" t="s">
        <v>168</v>
      </c>
      <c r="C192" s="1" t="s">
        <v>20</v>
      </c>
      <c r="D192" s="1" t="s">
        <v>15</v>
      </c>
      <c r="E192" s="1" t="s">
        <v>16</v>
      </c>
      <c r="F192" s="1">
        <v>2259</v>
      </c>
      <c r="G192" s="1">
        <v>7</v>
      </c>
      <c r="H192" s="1">
        <v>675</v>
      </c>
      <c r="I192" s="1">
        <f>YEAR(Sales_Data[[#This Row],[Date]])</f>
        <v>2024</v>
      </c>
      <c r="J192" s="1" t="str">
        <f>TEXT(Sales_Data[[#This Row],[Date]],"mmmm")</f>
        <v>March</v>
      </c>
      <c r="K192" s="3">
        <f>Sales_Data[[#This Row],[Profit]]/Sales_Data[[#This Row],[Sales]]</f>
        <v>0.29880478087649404</v>
      </c>
      <c r="L192" s="1" t="str">
        <f>IF(Sales_Data[[#This Row],[Profit Margin
Profit/Sales]]&gt;0,"Profit","Loss")</f>
        <v>Profit</v>
      </c>
    </row>
    <row r="193" spans="1:12" x14ac:dyDescent="0.35">
      <c r="A193" s="1">
        <v>1192</v>
      </c>
      <c r="B193" s="1" t="s">
        <v>153</v>
      </c>
      <c r="C193" s="1" t="s">
        <v>27</v>
      </c>
      <c r="D193" s="1" t="s">
        <v>10</v>
      </c>
      <c r="E193" s="1" t="s">
        <v>34</v>
      </c>
      <c r="F193" s="1">
        <v>14944</v>
      </c>
      <c r="G193" s="1">
        <v>9</v>
      </c>
      <c r="H193" s="1">
        <v>4308</v>
      </c>
      <c r="I193" s="1">
        <f>YEAR(Sales_Data[[#This Row],[Date]])</f>
        <v>2024</v>
      </c>
      <c r="J193" s="1" t="str">
        <f>TEXT(Sales_Data[[#This Row],[Date]],"mmmm")</f>
        <v>February</v>
      </c>
      <c r="K193" s="3">
        <f>Sales_Data[[#This Row],[Profit]]/Sales_Data[[#This Row],[Sales]]</f>
        <v>0.28827623126338331</v>
      </c>
      <c r="L193" s="1" t="str">
        <f>IF(Sales_Data[[#This Row],[Profit Margin
Profit/Sales]]&gt;0,"Profit","Loss")</f>
        <v>Profit</v>
      </c>
    </row>
    <row r="194" spans="1:12" x14ac:dyDescent="0.35">
      <c r="A194" s="1">
        <v>1193</v>
      </c>
      <c r="B194" s="1" t="s">
        <v>119</v>
      </c>
      <c r="C194" s="1" t="s">
        <v>9</v>
      </c>
      <c r="D194" s="1" t="s">
        <v>15</v>
      </c>
      <c r="E194" s="1" t="s">
        <v>16</v>
      </c>
      <c r="F194" s="1">
        <v>40469</v>
      </c>
      <c r="G194" s="1">
        <v>1</v>
      </c>
      <c r="H194" s="1">
        <v>7486</v>
      </c>
      <c r="I194" s="1">
        <f>YEAR(Sales_Data[[#This Row],[Date]])</f>
        <v>2024</v>
      </c>
      <c r="J194" s="1" t="str">
        <f>TEXT(Sales_Data[[#This Row],[Date]],"mmmm")</f>
        <v>January</v>
      </c>
      <c r="K194" s="3">
        <f>Sales_Data[[#This Row],[Profit]]/Sales_Data[[#This Row],[Sales]]</f>
        <v>0.18498109664187404</v>
      </c>
      <c r="L194" s="1" t="str">
        <f>IF(Sales_Data[[#This Row],[Profit Margin
Profit/Sales]]&gt;0,"Profit","Loss")</f>
        <v>Profit</v>
      </c>
    </row>
    <row r="195" spans="1:12" x14ac:dyDescent="0.35">
      <c r="A195" s="1">
        <v>1194</v>
      </c>
      <c r="B195" s="1" t="s">
        <v>169</v>
      </c>
      <c r="C195" s="1" t="s">
        <v>20</v>
      </c>
      <c r="D195" s="1" t="s">
        <v>10</v>
      </c>
      <c r="E195" s="1" t="s">
        <v>13</v>
      </c>
      <c r="F195" s="1">
        <v>31082</v>
      </c>
      <c r="G195" s="1">
        <v>8</v>
      </c>
      <c r="H195" s="1">
        <v>6285</v>
      </c>
      <c r="I195" s="1">
        <f>YEAR(Sales_Data[[#This Row],[Date]])</f>
        <v>2024</v>
      </c>
      <c r="J195" s="1" t="str">
        <f>TEXT(Sales_Data[[#This Row],[Date]],"mmmm")</f>
        <v>March</v>
      </c>
      <c r="K195" s="3">
        <f>Sales_Data[[#This Row],[Profit]]/Sales_Data[[#This Row],[Sales]]</f>
        <v>0.20220706518242068</v>
      </c>
      <c r="L195" s="1" t="str">
        <f>IF(Sales_Data[[#This Row],[Profit Margin
Profit/Sales]]&gt;0,"Profit","Loss")</f>
        <v>Profit</v>
      </c>
    </row>
    <row r="196" spans="1:12" x14ac:dyDescent="0.35">
      <c r="A196" s="1">
        <v>1195</v>
      </c>
      <c r="B196" s="1" t="s">
        <v>95</v>
      </c>
      <c r="C196" s="1" t="s">
        <v>20</v>
      </c>
      <c r="D196" s="1" t="s">
        <v>15</v>
      </c>
      <c r="E196" s="1" t="s">
        <v>21</v>
      </c>
      <c r="F196" s="1">
        <v>48721</v>
      </c>
      <c r="G196" s="1">
        <v>10</v>
      </c>
      <c r="H196" s="1">
        <v>10452</v>
      </c>
      <c r="I196" s="1">
        <f>YEAR(Sales_Data[[#This Row],[Date]])</f>
        <v>2024</v>
      </c>
      <c r="J196" s="1" t="str">
        <f>TEXT(Sales_Data[[#This Row],[Date]],"mmmm")</f>
        <v>January</v>
      </c>
      <c r="K196" s="3">
        <f>Sales_Data[[#This Row],[Profit]]/Sales_Data[[#This Row],[Sales]]</f>
        <v>0.21452761642823423</v>
      </c>
      <c r="L196" s="1" t="str">
        <f>IF(Sales_Data[[#This Row],[Profit Margin
Profit/Sales]]&gt;0,"Profit","Loss")</f>
        <v>Profit</v>
      </c>
    </row>
    <row r="197" spans="1:12" x14ac:dyDescent="0.35">
      <c r="A197" s="1">
        <v>1196</v>
      </c>
      <c r="B197" s="1" t="s">
        <v>127</v>
      </c>
      <c r="C197" s="1" t="s">
        <v>9</v>
      </c>
      <c r="D197" s="1" t="s">
        <v>29</v>
      </c>
      <c r="E197" s="1" t="s">
        <v>49</v>
      </c>
      <c r="F197" s="1">
        <v>5654</v>
      </c>
      <c r="G197" s="1">
        <v>10</v>
      </c>
      <c r="H197" s="1">
        <v>1372</v>
      </c>
      <c r="I197" s="1">
        <f>YEAR(Sales_Data[[#This Row],[Date]])</f>
        <v>2024</v>
      </c>
      <c r="J197" s="1" t="str">
        <f>TEXT(Sales_Data[[#This Row],[Date]],"mmmm")</f>
        <v>September</v>
      </c>
      <c r="K197" s="3">
        <f>Sales_Data[[#This Row],[Profit]]/Sales_Data[[#This Row],[Sales]]</f>
        <v>0.24266006367173681</v>
      </c>
      <c r="L197" s="1" t="str">
        <f>IF(Sales_Data[[#This Row],[Profit Margin
Profit/Sales]]&gt;0,"Profit","Loss")</f>
        <v>Profit</v>
      </c>
    </row>
    <row r="198" spans="1:12" x14ac:dyDescent="0.35">
      <c r="A198" s="1">
        <v>1197</v>
      </c>
      <c r="B198" s="1" t="s">
        <v>170</v>
      </c>
      <c r="C198" s="1" t="s">
        <v>27</v>
      </c>
      <c r="D198" s="1" t="s">
        <v>10</v>
      </c>
      <c r="E198" s="1" t="s">
        <v>13</v>
      </c>
      <c r="F198" s="1">
        <v>38573</v>
      </c>
      <c r="G198" s="1">
        <v>8</v>
      </c>
      <c r="H198" s="1">
        <v>10383</v>
      </c>
      <c r="I198" s="1">
        <f>YEAR(Sales_Data[[#This Row],[Date]])</f>
        <v>2024</v>
      </c>
      <c r="J198" s="1" t="str">
        <f>TEXT(Sales_Data[[#This Row],[Date]],"mmmm")</f>
        <v>February</v>
      </c>
      <c r="K198" s="3">
        <f>Sales_Data[[#This Row],[Profit]]/Sales_Data[[#This Row],[Sales]]</f>
        <v>0.26917792238094002</v>
      </c>
      <c r="L198" s="1" t="str">
        <f>IF(Sales_Data[[#This Row],[Profit Margin
Profit/Sales]]&gt;0,"Profit","Loss")</f>
        <v>Profit</v>
      </c>
    </row>
    <row r="199" spans="1:12" x14ac:dyDescent="0.35">
      <c r="A199" s="1">
        <v>1198</v>
      </c>
      <c r="B199" s="1" t="s">
        <v>126</v>
      </c>
      <c r="C199" s="1" t="s">
        <v>23</v>
      </c>
      <c r="D199" s="1" t="s">
        <v>10</v>
      </c>
      <c r="E199" s="1" t="s">
        <v>13</v>
      </c>
      <c r="F199" s="1">
        <v>32963</v>
      </c>
      <c r="G199" s="1">
        <v>1</v>
      </c>
      <c r="H199" s="1">
        <v>8481</v>
      </c>
      <c r="I199" s="1">
        <f>YEAR(Sales_Data[[#This Row],[Date]])</f>
        <v>2024</v>
      </c>
      <c r="J199" s="1" t="str">
        <f>TEXT(Sales_Data[[#This Row],[Date]],"mmmm")</f>
        <v>July</v>
      </c>
      <c r="K199" s="3">
        <f>Sales_Data[[#This Row],[Profit]]/Sales_Data[[#This Row],[Sales]]</f>
        <v>0.25728847495676971</v>
      </c>
      <c r="L199" s="1" t="str">
        <f>IF(Sales_Data[[#This Row],[Profit Margin
Profit/Sales]]&gt;0,"Profit","Loss")</f>
        <v>Profit</v>
      </c>
    </row>
    <row r="200" spans="1:12" x14ac:dyDescent="0.35">
      <c r="A200" s="1">
        <v>1199</v>
      </c>
      <c r="B200" s="1" t="s">
        <v>39</v>
      </c>
      <c r="C200" s="1" t="s">
        <v>20</v>
      </c>
      <c r="D200" s="1" t="s">
        <v>29</v>
      </c>
      <c r="E200" s="1" t="s">
        <v>49</v>
      </c>
      <c r="F200" s="1">
        <v>53851</v>
      </c>
      <c r="G200" s="1">
        <v>7</v>
      </c>
      <c r="H200" s="1">
        <v>9868</v>
      </c>
      <c r="I200" s="1">
        <f>YEAR(Sales_Data[[#This Row],[Date]])</f>
        <v>2024</v>
      </c>
      <c r="J200" s="1" t="str">
        <f>TEXT(Sales_Data[[#This Row],[Date]],"mmmm")</f>
        <v>June</v>
      </c>
      <c r="K200" s="3">
        <f>Sales_Data[[#This Row],[Profit]]/Sales_Data[[#This Row],[Sales]]</f>
        <v>0.18324636497000985</v>
      </c>
      <c r="L200" s="1" t="str">
        <f>IF(Sales_Data[[#This Row],[Profit Margin
Profit/Sales]]&gt;0,"Profit","Loss")</f>
        <v>Profit</v>
      </c>
    </row>
    <row r="201" spans="1:12" x14ac:dyDescent="0.35">
      <c r="A201" s="1">
        <v>1200</v>
      </c>
      <c r="B201" s="1" t="s">
        <v>171</v>
      </c>
      <c r="C201" s="1" t="s">
        <v>23</v>
      </c>
      <c r="D201" s="1" t="s">
        <v>10</v>
      </c>
      <c r="E201" s="1" t="s">
        <v>11</v>
      </c>
      <c r="F201" s="1">
        <v>55671</v>
      </c>
      <c r="G201" s="1">
        <v>4</v>
      </c>
      <c r="H201" s="1">
        <v>6221</v>
      </c>
      <c r="I201" s="1">
        <f>YEAR(Sales_Data[[#This Row],[Date]])</f>
        <v>2024</v>
      </c>
      <c r="J201" s="1" t="str">
        <f>TEXT(Sales_Data[[#This Row],[Date]],"mmmm")</f>
        <v>September</v>
      </c>
      <c r="K201" s="3">
        <f>Sales_Data[[#This Row],[Profit]]/Sales_Data[[#This Row],[Sales]]</f>
        <v>0.11174579224371756</v>
      </c>
      <c r="L201" s="1" t="str">
        <f>IF(Sales_Data[[#This Row],[Profit Margin
Profit/Sales]]&gt;0,"Profit","Loss")</f>
        <v>Profit</v>
      </c>
    </row>
    <row r="202" spans="1:12" x14ac:dyDescent="0.35">
      <c r="A202" s="1">
        <v>1201</v>
      </c>
      <c r="B202" s="1" t="s">
        <v>172</v>
      </c>
      <c r="C202" s="1" t="s">
        <v>20</v>
      </c>
      <c r="D202" s="1" t="s">
        <v>29</v>
      </c>
      <c r="E202" s="1" t="s">
        <v>41</v>
      </c>
      <c r="F202" s="1">
        <v>44954</v>
      </c>
      <c r="G202" s="1">
        <v>8</v>
      </c>
      <c r="H202" s="1">
        <v>13184</v>
      </c>
      <c r="I202" s="1">
        <f>YEAR(Sales_Data[[#This Row],[Date]])</f>
        <v>2024</v>
      </c>
      <c r="J202" s="1" t="str">
        <f>TEXT(Sales_Data[[#This Row],[Date]],"mmmm")</f>
        <v>June</v>
      </c>
      <c r="K202" s="3">
        <f>Sales_Data[[#This Row],[Profit]]/Sales_Data[[#This Row],[Sales]]</f>
        <v>0.29327757262979937</v>
      </c>
      <c r="L202" s="1" t="str">
        <f>IF(Sales_Data[[#This Row],[Profit Margin
Profit/Sales]]&gt;0,"Profit","Loss")</f>
        <v>Profit</v>
      </c>
    </row>
    <row r="203" spans="1:12" x14ac:dyDescent="0.35">
      <c r="A203" s="1">
        <v>1202</v>
      </c>
      <c r="B203" s="1" t="s">
        <v>173</v>
      </c>
      <c r="C203" s="1" t="s">
        <v>20</v>
      </c>
      <c r="D203" s="1" t="s">
        <v>29</v>
      </c>
      <c r="E203" s="1" t="s">
        <v>30</v>
      </c>
      <c r="F203" s="1">
        <v>30314</v>
      </c>
      <c r="G203" s="1">
        <v>4</v>
      </c>
      <c r="H203" s="1">
        <v>2656</v>
      </c>
      <c r="I203" s="1">
        <f>YEAR(Sales_Data[[#This Row],[Date]])</f>
        <v>2024</v>
      </c>
      <c r="J203" s="1" t="str">
        <f>TEXT(Sales_Data[[#This Row],[Date]],"mmmm")</f>
        <v>April</v>
      </c>
      <c r="K203" s="3">
        <f>Sales_Data[[#This Row],[Profit]]/Sales_Data[[#This Row],[Sales]]</f>
        <v>8.7616282905588178E-2</v>
      </c>
      <c r="L203" s="1" t="str">
        <f>IF(Sales_Data[[#This Row],[Profit Margin
Profit/Sales]]&gt;0,"Profit","Loss")</f>
        <v>Profit</v>
      </c>
    </row>
    <row r="204" spans="1:12" x14ac:dyDescent="0.35">
      <c r="A204" s="1">
        <v>1203</v>
      </c>
      <c r="B204" s="1" t="s">
        <v>174</v>
      </c>
      <c r="C204" s="1" t="s">
        <v>23</v>
      </c>
      <c r="D204" s="1" t="s">
        <v>10</v>
      </c>
      <c r="E204" s="1" t="s">
        <v>11</v>
      </c>
      <c r="F204" s="1">
        <v>53817</v>
      </c>
      <c r="G204" s="1">
        <v>2</v>
      </c>
      <c r="H204" s="1">
        <v>3215</v>
      </c>
      <c r="I204" s="1">
        <f>YEAR(Sales_Data[[#This Row],[Date]])</f>
        <v>2024</v>
      </c>
      <c r="J204" s="1" t="str">
        <f>TEXT(Sales_Data[[#This Row],[Date]],"mmmm")</f>
        <v>May</v>
      </c>
      <c r="K204" s="3">
        <f>Sales_Data[[#This Row],[Profit]]/Sales_Data[[#This Row],[Sales]]</f>
        <v>5.9739487522530055E-2</v>
      </c>
      <c r="L204" s="1" t="str">
        <f>IF(Sales_Data[[#This Row],[Profit Margin
Profit/Sales]]&gt;0,"Profit","Loss")</f>
        <v>Profit</v>
      </c>
    </row>
    <row r="205" spans="1:12" x14ac:dyDescent="0.35">
      <c r="A205" s="1">
        <v>1204</v>
      </c>
      <c r="B205" s="1" t="s">
        <v>114</v>
      </c>
      <c r="C205" s="1" t="s">
        <v>23</v>
      </c>
      <c r="D205" s="1" t="s">
        <v>10</v>
      </c>
      <c r="E205" s="1" t="s">
        <v>11</v>
      </c>
      <c r="F205" s="1">
        <v>27992</v>
      </c>
      <c r="G205" s="1">
        <v>3</v>
      </c>
      <c r="H205" s="1">
        <v>5863</v>
      </c>
      <c r="I205" s="1">
        <f>YEAR(Sales_Data[[#This Row],[Date]])</f>
        <v>2024</v>
      </c>
      <c r="J205" s="1" t="str">
        <f>TEXT(Sales_Data[[#This Row],[Date]],"mmmm")</f>
        <v>November</v>
      </c>
      <c r="K205" s="3">
        <f>Sales_Data[[#This Row],[Profit]]/Sales_Data[[#This Row],[Sales]]</f>
        <v>0.20945270077164904</v>
      </c>
      <c r="L205" s="1" t="str">
        <f>IF(Sales_Data[[#This Row],[Profit Margin
Profit/Sales]]&gt;0,"Profit","Loss")</f>
        <v>Profit</v>
      </c>
    </row>
    <row r="206" spans="1:12" x14ac:dyDescent="0.35">
      <c r="A206" s="1">
        <v>1205</v>
      </c>
      <c r="B206" s="1" t="s">
        <v>123</v>
      </c>
      <c r="C206" s="1" t="s">
        <v>27</v>
      </c>
      <c r="D206" s="1" t="s">
        <v>15</v>
      </c>
      <c r="E206" s="1" t="s">
        <v>18</v>
      </c>
      <c r="F206" s="1">
        <v>5708</v>
      </c>
      <c r="G206" s="1">
        <v>7</v>
      </c>
      <c r="H206" s="1">
        <v>695</v>
      </c>
      <c r="I206" s="1">
        <f>YEAR(Sales_Data[[#This Row],[Date]])</f>
        <v>2024</v>
      </c>
      <c r="J206" s="1" t="str">
        <f>TEXT(Sales_Data[[#This Row],[Date]],"mmmm")</f>
        <v>June</v>
      </c>
      <c r="K206" s="3">
        <f>Sales_Data[[#This Row],[Profit]]/Sales_Data[[#This Row],[Sales]]</f>
        <v>0.12175893482831114</v>
      </c>
      <c r="L206" s="1" t="str">
        <f>IF(Sales_Data[[#This Row],[Profit Margin
Profit/Sales]]&gt;0,"Profit","Loss")</f>
        <v>Profit</v>
      </c>
    </row>
    <row r="207" spans="1:12" x14ac:dyDescent="0.35">
      <c r="A207" s="1">
        <v>1206</v>
      </c>
      <c r="B207" s="1" t="s">
        <v>175</v>
      </c>
      <c r="C207" s="1" t="s">
        <v>9</v>
      </c>
      <c r="D207" s="1" t="s">
        <v>29</v>
      </c>
      <c r="E207" s="1" t="s">
        <v>41</v>
      </c>
      <c r="F207" s="1">
        <v>18027</v>
      </c>
      <c r="G207" s="1">
        <v>1</v>
      </c>
      <c r="H207" s="1">
        <v>5167</v>
      </c>
      <c r="I207" s="1">
        <f>YEAR(Sales_Data[[#This Row],[Date]])</f>
        <v>2024</v>
      </c>
      <c r="J207" s="1" t="str">
        <f>TEXT(Sales_Data[[#This Row],[Date]],"mmmm")</f>
        <v>September</v>
      </c>
      <c r="K207" s="3">
        <f>Sales_Data[[#This Row],[Profit]]/Sales_Data[[#This Row],[Sales]]</f>
        <v>0.28662561712986079</v>
      </c>
      <c r="L207" s="1" t="str">
        <f>IF(Sales_Data[[#This Row],[Profit Margin
Profit/Sales]]&gt;0,"Profit","Loss")</f>
        <v>Profit</v>
      </c>
    </row>
    <row r="208" spans="1:12" x14ac:dyDescent="0.35">
      <c r="A208" s="1">
        <v>1207</v>
      </c>
      <c r="B208" s="1" t="s">
        <v>176</v>
      </c>
      <c r="C208" s="1" t="s">
        <v>23</v>
      </c>
      <c r="D208" s="1" t="s">
        <v>29</v>
      </c>
      <c r="E208" s="1" t="s">
        <v>30</v>
      </c>
      <c r="F208" s="1">
        <v>45103</v>
      </c>
      <c r="G208" s="1">
        <v>3</v>
      </c>
      <c r="H208" s="1">
        <v>12970</v>
      </c>
      <c r="I208" s="1">
        <f>YEAR(Sales_Data[[#This Row],[Date]])</f>
        <v>2024</v>
      </c>
      <c r="J208" s="1" t="str">
        <f>TEXT(Sales_Data[[#This Row],[Date]],"mmmm")</f>
        <v>August</v>
      </c>
      <c r="K208" s="3">
        <f>Sales_Data[[#This Row],[Profit]]/Sales_Data[[#This Row],[Sales]]</f>
        <v>0.28756402013169857</v>
      </c>
      <c r="L208" s="1" t="str">
        <f>IF(Sales_Data[[#This Row],[Profit Margin
Profit/Sales]]&gt;0,"Profit","Loss")</f>
        <v>Profit</v>
      </c>
    </row>
    <row r="209" spans="1:12" x14ac:dyDescent="0.35">
      <c r="A209" s="1">
        <v>1208</v>
      </c>
      <c r="B209" s="1" t="s">
        <v>76</v>
      </c>
      <c r="C209" s="1" t="s">
        <v>27</v>
      </c>
      <c r="D209" s="1" t="s">
        <v>29</v>
      </c>
      <c r="E209" s="1" t="s">
        <v>49</v>
      </c>
      <c r="F209" s="1">
        <v>57704</v>
      </c>
      <c r="G209" s="1">
        <v>4</v>
      </c>
      <c r="H209" s="1">
        <v>4190</v>
      </c>
      <c r="I209" s="1">
        <f>YEAR(Sales_Data[[#This Row],[Date]])</f>
        <v>2024</v>
      </c>
      <c r="J209" s="1" t="str">
        <f>TEXT(Sales_Data[[#This Row],[Date]],"mmmm")</f>
        <v>July</v>
      </c>
      <c r="K209" s="3">
        <f>Sales_Data[[#This Row],[Profit]]/Sales_Data[[#This Row],[Sales]]</f>
        <v>7.261195064466934E-2</v>
      </c>
      <c r="L209" s="1" t="str">
        <f>IF(Sales_Data[[#This Row],[Profit Margin
Profit/Sales]]&gt;0,"Profit","Loss")</f>
        <v>Profit</v>
      </c>
    </row>
    <row r="210" spans="1:12" x14ac:dyDescent="0.35">
      <c r="A210" s="1">
        <v>1209</v>
      </c>
      <c r="B210" s="1" t="s">
        <v>50</v>
      </c>
      <c r="C210" s="1" t="s">
        <v>20</v>
      </c>
      <c r="D210" s="1" t="s">
        <v>15</v>
      </c>
      <c r="E210" s="1" t="s">
        <v>21</v>
      </c>
      <c r="F210" s="1">
        <v>16740</v>
      </c>
      <c r="G210" s="1">
        <v>2</v>
      </c>
      <c r="H210" s="1">
        <v>1000</v>
      </c>
      <c r="I210" s="1">
        <f>YEAR(Sales_Data[[#This Row],[Date]])</f>
        <v>2024</v>
      </c>
      <c r="J210" s="1" t="str">
        <f>TEXT(Sales_Data[[#This Row],[Date]],"mmmm")</f>
        <v>October</v>
      </c>
      <c r="K210" s="3">
        <f>Sales_Data[[#This Row],[Profit]]/Sales_Data[[#This Row],[Sales]]</f>
        <v>5.9737156511350059E-2</v>
      </c>
      <c r="L210" s="1" t="str">
        <f>IF(Sales_Data[[#This Row],[Profit Margin
Profit/Sales]]&gt;0,"Profit","Loss")</f>
        <v>Profit</v>
      </c>
    </row>
    <row r="211" spans="1:12" x14ac:dyDescent="0.35">
      <c r="A211" s="1">
        <v>1210</v>
      </c>
      <c r="B211" s="1" t="s">
        <v>35</v>
      </c>
      <c r="C211" s="1" t="s">
        <v>23</v>
      </c>
      <c r="D211" s="1" t="s">
        <v>29</v>
      </c>
      <c r="E211" s="1" t="s">
        <v>49</v>
      </c>
      <c r="F211" s="1">
        <v>44688</v>
      </c>
      <c r="G211" s="1">
        <v>3</v>
      </c>
      <c r="H211" s="1">
        <v>5866</v>
      </c>
      <c r="I211" s="1">
        <f>YEAR(Sales_Data[[#This Row],[Date]])</f>
        <v>2024</v>
      </c>
      <c r="J211" s="1" t="str">
        <f>TEXT(Sales_Data[[#This Row],[Date]],"mmmm")</f>
        <v>October</v>
      </c>
      <c r="K211" s="3">
        <f>Sales_Data[[#This Row],[Profit]]/Sales_Data[[#This Row],[Sales]]</f>
        <v>0.131265664160401</v>
      </c>
      <c r="L211" s="1" t="str">
        <f>IF(Sales_Data[[#This Row],[Profit Margin
Profit/Sales]]&gt;0,"Profit","Loss")</f>
        <v>Profit</v>
      </c>
    </row>
    <row r="212" spans="1:12" x14ac:dyDescent="0.35">
      <c r="A212" s="1">
        <v>1211</v>
      </c>
      <c r="B212" s="1" t="s">
        <v>64</v>
      </c>
      <c r="C212" s="1" t="s">
        <v>9</v>
      </c>
      <c r="D212" s="1" t="s">
        <v>29</v>
      </c>
      <c r="E212" s="1" t="s">
        <v>30</v>
      </c>
      <c r="F212" s="1">
        <v>39978</v>
      </c>
      <c r="G212" s="1">
        <v>6</v>
      </c>
      <c r="H212" s="1">
        <v>278</v>
      </c>
      <c r="I212" s="1">
        <f>YEAR(Sales_Data[[#This Row],[Date]])</f>
        <v>2024</v>
      </c>
      <c r="J212" s="1" t="str">
        <f>TEXT(Sales_Data[[#This Row],[Date]],"mmmm")</f>
        <v>July</v>
      </c>
      <c r="K212" s="3">
        <f>Sales_Data[[#This Row],[Profit]]/Sales_Data[[#This Row],[Sales]]</f>
        <v>6.9538246035319422E-3</v>
      </c>
      <c r="L212" s="1" t="str">
        <f>IF(Sales_Data[[#This Row],[Profit Margin
Profit/Sales]]&gt;0,"Profit","Loss")</f>
        <v>Profit</v>
      </c>
    </row>
    <row r="213" spans="1:12" x14ac:dyDescent="0.35">
      <c r="A213" s="1">
        <v>1212</v>
      </c>
      <c r="B213" s="1" t="s">
        <v>177</v>
      </c>
      <c r="C213" s="1" t="s">
        <v>27</v>
      </c>
      <c r="D213" s="1" t="s">
        <v>29</v>
      </c>
      <c r="E213" s="1" t="s">
        <v>41</v>
      </c>
      <c r="F213" s="1">
        <v>13196</v>
      </c>
      <c r="G213" s="1">
        <v>2</v>
      </c>
      <c r="H213" s="1">
        <v>728</v>
      </c>
      <c r="I213" s="1">
        <f>YEAR(Sales_Data[[#This Row],[Date]])</f>
        <v>2024</v>
      </c>
      <c r="J213" s="1" t="str">
        <f>TEXT(Sales_Data[[#This Row],[Date]],"mmmm")</f>
        <v>February</v>
      </c>
      <c r="K213" s="3">
        <f>Sales_Data[[#This Row],[Profit]]/Sales_Data[[#This Row],[Sales]]</f>
        <v>5.5168232797817518E-2</v>
      </c>
      <c r="L213" s="1" t="str">
        <f>IF(Sales_Data[[#This Row],[Profit Margin
Profit/Sales]]&gt;0,"Profit","Loss")</f>
        <v>Profit</v>
      </c>
    </row>
    <row r="214" spans="1:12" x14ac:dyDescent="0.35">
      <c r="A214" s="1">
        <v>1213</v>
      </c>
      <c r="B214" s="1" t="s">
        <v>178</v>
      </c>
      <c r="C214" s="1" t="s">
        <v>20</v>
      </c>
      <c r="D214" s="1" t="s">
        <v>29</v>
      </c>
      <c r="E214" s="1" t="s">
        <v>30</v>
      </c>
      <c r="F214" s="1">
        <v>34152</v>
      </c>
      <c r="G214" s="1">
        <v>7</v>
      </c>
      <c r="H214" s="1">
        <v>5577</v>
      </c>
      <c r="I214" s="1">
        <f>YEAR(Sales_Data[[#This Row],[Date]])</f>
        <v>2024</v>
      </c>
      <c r="J214" s="1" t="str">
        <f>TEXT(Sales_Data[[#This Row],[Date]],"mmmm")</f>
        <v>March</v>
      </c>
      <c r="K214" s="3">
        <f>Sales_Data[[#This Row],[Profit]]/Sales_Data[[#This Row],[Sales]]</f>
        <v>0.16329936753338017</v>
      </c>
      <c r="L214" s="1" t="str">
        <f>IF(Sales_Data[[#This Row],[Profit Margin
Profit/Sales]]&gt;0,"Profit","Loss")</f>
        <v>Profit</v>
      </c>
    </row>
    <row r="215" spans="1:12" x14ac:dyDescent="0.35">
      <c r="A215" s="1">
        <v>1214</v>
      </c>
      <c r="B215" s="1" t="s">
        <v>81</v>
      </c>
      <c r="C215" s="1" t="s">
        <v>20</v>
      </c>
      <c r="D215" s="1" t="s">
        <v>15</v>
      </c>
      <c r="E215" s="1" t="s">
        <v>18</v>
      </c>
      <c r="F215" s="1">
        <v>16978</v>
      </c>
      <c r="G215" s="1">
        <v>7</v>
      </c>
      <c r="H215" s="1">
        <v>4997</v>
      </c>
      <c r="I215" s="1">
        <f>YEAR(Sales_Data[[#This Row],[Date]])</f>
        <v>2024</v>
      </c>
      <c r="J215" s="1" t="str">
        <f>TEXT(Sales_Data[[#This Row],[Date]],"mmmm")</f>
        <v>January</v>
      </c>
      <c r="K215" s="3">
        <f>Sales_Data[[#This Row],[Profit]]/Sales_Data[[#This Row],[Sales]]</f>
        <v>0.29432206384733184</v>
      </c>
      <c r="L215" s="1" t="str">
        <f>IF(Sales_Data[[#This Row],[Profit Margin
Profit/Sales]]&gt;0,"Profit","Loss")</f>
        <v>Profit</v>
      </c>
    </row>
    <row r="216" spans="1:12" x14ac:dyDescent="0.35">
      <c r="A216" s="1">
        <v>1215</v>
      </c>
      <c r="B216" s="1" t="s">
        <v>179</v>
      </c>
      <c r="C216" s="1" t="s">
        <v>23</v>
      </c>
      <c r="D216" s="1" t="s">
        <v>10</v>
      </c>
      <c r="E216" s="1" t="s">
        <v>11</v>
      </c>
      <c r="F216" s="1">
        <v>15895</v>
      </c>
      <c r="G216" s="1">
        <v>5</v>
      </c>
      <c r="H216" s="1">
        <v>2854</v>
      </c>
      <c r="I216" s="1">
        <f>YEAR(Sales_Data[[#This Row],[Date]])</f>
        <v>2024</v>
      </c>
      <c r="J216" s="1" t="str">
        <f>TEXT(Sales_Data[[#This Row],[Date]],"mmmm")</f>
        <v>January</v>
      </c>
      <c r="K216" s="3">
        <f>Sales_Data[[#This Row],[Profit]]/Sales_Data[[#This Row],[Sales]]</f>
        <v>0.17955331865366467</v>
      </c>
      <c r="L216" s="1" t="str">
        <f>IF(Sales_Data[[#This Row],[Profit Margin
Profit/Sales]]&gt;0,"Profit","Loss")</f>
        <v>Profit</v>
      </c>
    </row>
    <row r="217" spans="1:12" x14ac:dyDescent="0.35">
      <c r="A217" s="1">
        <v>1216</v>
      </c>
      <c r="B217" s="1" t="s">
        <v>180</v>
      </c>
      <c r="C217" s="1" t="s">
        <v>20</v>
      </c>
      <c r="D217" s="1" t="s">
        <v>10</v>
      </c>
      <c r="E217" s="1" t="s">
        <v>13</v>
      </c>
      <c r="F217" s="1">
        <v>49404</v>
      </c>
      <c r="G217" s="1">
        <v>7</v>
      </c>
      <c r="H217" s="1">
        <v>14382</v>
      </c>
      <c r="I217" s="1">
        <f>YEAR(Sales_Data[[#This Row],[Date]])</f>
        <v>2024</v>
      </c>
      <c r="J217" s="1" t="str">
        <f>TEXT(Sales_Data[[#This Row],[Date]],"mmmm")</f>
        <v>June</v>
      </c>
      <c r="K217" s="3">
        <f>Sales_Data[[#This Row],[Profit]]/Sales_Data[[#This Row],[Sales]]</f>
        <v>0.29111003157639059</v>
      </c>
      <c r="L217" s="1" t="str">
        <f>IF(Sales_Data[[#This Row],[Profit Margin
Profit/Sales]]&gt;0,"Profit","Loss")</f>
        <v>Profit</v>
      </c>
    </row>
    <row r="218" spans="1:12" x14ac:dyDescent="0.35">
      <c r="A218" s="1">
        <v>1217</v>
      </c>
      <c r="B218" s="1" t="s">
        <v>181</v>
      </c>
      <c r="C218" s="1" t="s">
        <v>20</v>
      </c>
      <c r="D218" s="1" t="s">
        <v>29</v>
      </c>
      <c r="E218" s="1" t="s">
        <v>41</v>
      </c>
      <c r="F218" s="1">
        <v>53611</v>
      </c>
      <c r="G218" s="1">
        <v>9</v>
      </c>
      <c r="H218" s="1">
        <v>8674</v>
      </c>
      <c r="I218" s="1">
        <f>YEAR(Sales_Data[[#This Row],[Date]])</f>
        <v>2024</v>
      </c>
      <c r="J218" s="1" t="str">
        <f>TEXT(Sales_Data[[#This Row],[Date]],"mmmm")</f>
        <v>January</v>
      </c>
      <c r="K218" s="3">
        <f>Sales_Data[[#This Row],[Profit]]/Sales_Data[[#This Row],[Sales]]</f>
        <v>0.16179515397959374</v>
      </c>
      <c r="L218" s="1" t="str">
        <f>IF(Sales_Data[[#This Row],[Profit Margin
Profit/Sales]]&gt;0,"Profit","Loss")</f>
        <v>Profit</v>
      </c>
    </row>
    <row r="219" spans="1:12" x14ac:dyDescent="0.35">
      <c r="A219" s="1">
        <v>1218</v>
      </c>
      <c r="B219" s="1" t="s">
        <v>140</v>
      </c>
      <c r="C219" s="1" t="s">
        <v>23</v>
      </c>
      <c r="D219" s="1" t="s">
        <v>10</v>
      </c>
      <c r="E219" s="1" t="s">
        <v>13</v>
      </c>
      <c r="F219" s="1">
        <v>4519</v>
      </c>
      <c r="G219" s="1">
        <v>4</v>
      </c>
      <c r="H219" s="1">
        <v>852</v>
      </c>
      <c r="I219" s="1">
        <f>YEAR(Sales_Data[[#This Row],[Date]])</f>
        <v>2024</v>
      </c>
      <c r="J219" s="1" t="str">
        <f>TEXT(Sales_Data[[#This Row],[Date]],"mmmm")</f>
        <v>November</v>
      </c>
      <c r="K219" s="3">
        <f>Sales_Data[[#This Row],[Profit]]/Sales_Data[[#This Row],[Sales]]</f>
        <v>0.18853728701040054</v>
      </c>
      <c r="L219" s="1" t="str">
        <f>IF(Sales_Data[[#This Row],[Profit Margin
Profit/Sales]]&gt;0,"Profit","Loss")</f>
        <v>Profit</v>
      </c>
    </row>
    <row r="220" spans="1:12" x14ac:dyDescent="0.35">
      <c r="A220" s="1">
        <v>1219</v>
      </c>
      <c r="B220" s="1" t="s">
        <v>182</v>
      </c>
      <c r="C220" s="1" t="s">
        <v>9</v>
      </c>
      <c r="D220" s="1" t="s">
        <v>29</v>
      </c>
      <c r="E220" s="1" t="s">
        <v>49</v>
      </c>
      <c r="F220" s="1">
        <v>21156</v>
      </c>
      <c r="G220" s="1">
        <v>7</v>
      </c>
      <c r="H220" s="1">
        <v>5016</v>
      </c>
      <c r="I220" s="1">
        <f>YEAR(Sales_Data[[#This Row],[Date]])</f>
        <v>2024</v>
      </c>
      <c r="J220" s="1" t="str">
        <f>TEXT(Sales_Data[[#This Row],[Date]],"mmmm")</f>
        <v>August</v>
      </c>
      <c r="K220" s="3">
        <f>Sales_Data[[#This Row],[Profit]]/Sales_Data[[#This Row],[Sales]]</f>
        <v>0.23709585933068633</v>
      </c>
      <c r="L220" s="1" t="str">
        <f>IF(Sales_Data[[#This Row],[Profit Margin
Profit/Sales]]&gt;0,"Profit","Loss")</f>
        <v>Profit</v>
      </c>
    </row>
    <row r="221" spans="1:12" x14ac:dyDescent="0.35">
      <c r="A221" s="1">
        <v>1220</v>
      </c>
      <c r="B221" s="1" t="s">
        <v>88</v>
      </c>
      <c r="C221" s="1" t="s">
        <v>23</v>
      </c>
      <c r="D221" s="1" t="s">
        <v>29</v>
      </c>
      <c r="E221" s="1" t="s">
        <v>41</v>
      </c>
      <c r="F221" s="1">
        <v>39704</v>
      </c>
      <c r="G221" s="1">
        <v>5</v>
      </c>
      <c r="H221" s="1">
        <v>6525</v>
      </c>
      <c r="I221" s="1">
        <f>YEAR(Sales_Data[[#This Row],[Date]])</f>
        <v>2024</v>
      </c>
      <c r="J221" s="1" t="str">
        <f>TEXT(Sales_Data[[#This Row],[Date]],"mmmm")</f>
        <v>July</v>
      </c>
      <c r="K221" s="3">
        <f>Sales_Data[[#This Row],[Profit]]/Sales_Data[[#This Row],[Sales]]</f>
        <v>0.16434112431996775</v>
      </c>
      <c r="L221" s="1" t="str">
        <f>IF(Sales_Data[[#This Row],[Profit Margin
Profit/Sales]]&gt;0,"Profit","Loss")</f>
        <v>Profit</v>
      </c>
    </row>
    <row r="222" spans="1:12" x14ac:dyDescent="0.35">
      <c r="A222" s="1">
        <v>1221</v>
      </c>
      <c r="B222" s="1" t="s">
        <v>183</v>
      </c>
      <c r="C222" s="1" t="s">
        <v>27</v>
      </c>
      <c r="D222" s="1" t="s">
        <v>15</v>
      </c>
      <c r="E222" s="1" t="s">
        <v>16</v>
      </c>
      <c r="F222" s="1">
        <v>42053</v>
      </c>
      <c r="G222" s="1">
        <v>7</v>
      </c>
      <c r="H222" s="1">
        <v>10635</v>
      </c>
      <c r="I222" s="1">
        <f>YEAR(Sales_Data[[#This Row],[Date]])</f>
        <v>2024</v>
      </c>
      <c r="J222" s="1" t="str">
        <f>TEXT(Sales_Data[[#This Row],[Date]],"mmmm")</f>
        <v>November</v>
      </c>
      <c r="K222" s="3">
        <f>Sales_Data[[#This Row],[Profit]]/Sales_Data[[#This Row],[Sales]]</f>
        <v>0.25289515611252467</v>
      </c>
      <c r="L222" s="1" t="str">
        <f>IF(Sales_Data[[#This Row],[Profit Margin
Profit/Sales]]&gt;0,"Profit","Loss")</f>
        <v>Profit</v>
      </c>
    </row>
    <row r="223" spans="1:12" x14ac:dyDescent="0.35">
      <c r="A223" s="1">
        <v>1222</v>
      </c>
      <c r="B223" s="1" t="s">
        <v>184</v>
      </c>
      <c r="C223" s="1" t="s">
        <v>23</v>
      </c>
      <c r="D223" s="1" t="s">
        <v>15</v>
      </c>
      <c r="E223" s="1" t="s">
        <v>21</v>
      </c>
      <c r="F223" s="1">
        <v>25413</v>
      </c>
      <c r="G223" s="1">
        <v>7</v>
      </c>
      <c r="H223" s="1">
        <v>1637</v>
      </c>
      <c r="I223" s="1">
        <f>YEAR(Sales_Data[[#This Row],[Date]])</f>
        <v>2024</v>
      </c>
      <c r="J223" s="1" t="str">
        <f>TEXT(Sales_Data[[#This Row],[Date]],"mmmm")</f>
        <v>January</v>
      </c>
      <c r="K223" s="3">
        <f>Sales_Data[[#This Row],[Profit]]/Sales_Data[[#This Row],[Sales]]</f>
        <v>6.4415850155432261E-2</v>
      </c>
      <c r="L223" s="1" t="str">
        <f>IF(Sales_Data[[#This Row],[Profit Margin
Profit/Sales]]&gt;0,"Profit","Loss")</f>
        <v>Profit</v>
      </c>
    </row>
    <row r="224" spans="1:12" x14ac:dyDescent="0.35">
      <c r="A224" s="1">
        <v>1223</v>
      </c>
      <c r="B224" s="1" t="s">
        <v>185</v>
      </c>
      <c r="C224" s="1" t="s">
        <v>27</v>
      </c>
      <c r="D224" s="1" t="s">
        <v>29</v>
      </c>
      <c r="E224" s="1" t="s">
        <v>30</v>
      </c>
      <c r="F224" s="1">
        <v>25005</v>
      </c>
      <c r="G224" s="1">
        <v>3</v>
      </c>
      <c r="H224" s="1">
        <v>2274</v>
      </c>
      <c r="I224" s="1">
        <f>YEAR(Sales_Data[[#This Row],[Date]])</f>
        <v>2024</v>
      </c>
      <c r="J224" s="1" t="str">
        <f>TEXT(Sales_Data[[#This Row],[Date]],"mmmm")</f>
        <v>May</v>
      </c>
      <c r="K224" s="3">
        <f>Sales_Data[[#This Row],[Profit]]/Sales_Data[[#This Row],[Sales]]</f>
        <v>9.0941811637672468E-2</v>
      </c>
      <c r="L224" s="1" t="str">
        <f>IF(Sales_Data[[#This Row],[Profit Margin
Profit/Sales]]&gt;0,"Profit","Loss")</f>
        <v>Profit</v>
      </c>
    </row>
    <row r="225" spans="1:12" x14ac:dyDescent="0.35">
      <c r="A225" s="1">
        <v>1224</v>
      </c>
      <c r="B225" s="1" t="s">
        <v>157</v>
      </c>
      <c r="C225" s="1" t="s">
        <v>27</v>
      </c>
      <c r="D225" s="1" t="s">
        <v>15</v>
      </c>
      <c r="E225" s="1" t="s">
        <v>21</v>
      </c>
      <c r="F225" s="1">
        <v>5933</v>
      </c>
      <c r="G225" s="1">
        <v>4</v>
      </c>
      <c r="H225" s="1">
        <v>1746</v>
      </c>
      <c r="I225" s="1">
        <f>YEAR(Sales_Data[[#This Row],[Date]])</f>
        <v>2024</v>
      </c>
      <c r="J225" s="1" t="str">
        <f>TEXT(Sales_Data[[#This Row],[Date]],"mmmm")</f>
        <v>June</v>
      </c>
      <c r="K225" s="3">
        <f>Sales_Data[[#This Row],[Profit]]/Sales_Data[[#This Row],[Sales]]</f>
        <v>0.29428619585369964</v>
      </c>
      <c r="L225" s="1" t="str">
        <f>IF(Sales_Data[[#This Row],[Profit Margin
Profit/Sales]]&gt;0,"Profit","Loss")</f>
        <v>Profit</v>
      </c>
    </row>
    <row r="226" spans="1:12" x14ac:dyDescent="0.35">
      <c r="A226" s="1">
        <v>1225</v>
      </c>
      <c r="B226" s="1" t="s">
        <v>186</v>
      </c>
      <c r="C226" s="1" t="s">
        <v>23</v>
      </c>
      <c r="D226" s="1" t="s">
        <v>10</v>
      </c>
      <c r="E226" s="1" t="s">
        <v>11</v>
      </c>
      <c r="F226" s="1">
        <v>38079</v>
      </c>
      <c r="G226" s="1">
        <v>2</v>
      </c>
      <c r="H226" s="1">
        <v>8565</v>
      </c>
      <c r="I226" s="1">
        <f>YEAR(Sales_Data[[#This Row],[Date]])</f>
        <v>2024</v>
      </c>
      <c r="J226" s="1" t="str">
        <f>TEXT(Sales_Data[[#This Row],[Date]],"mmmm")</f>
        <v>May</v>
      </c>
      <c r="K226" s="3">
        <f>Sales_Data[[#This Row],[Profit]]/Sales_Data[[#This Row],[Sales]]</f>
        <v>0.224927125187111</v>
      </c>
      <c r="L226" s="1" t="str">
        <f>IF(Sales_Data[[#This Row],[Profit Margin
Profit/Sales]]&gt;0,"Profit","Loss")</f>
        <v>Profit</v>
      </c>
    </row>
    <row r="227" spans="1:12" x14ac:dyDescent="0.35">
      <c r="A227" s="1">
        <v>1226</v>
      </c>
      <c r="B227" s="1" t="s">
        <v>187</v>
      </c>
      <c r="C227" s="1" t="s">
        <v>20</v>
      </c>
      <c r="D227" s="1" t="s">
        <v>10</v>
      </c>
      <c r="E227" s="1" t="s">
        <v>11</v>
      </c>
      <c r="F227" s="1">
        <v>10322</v>
      </c>
      <c r="G227" s="1">
        <v>8</v>
      </c>
      <c r="H227" s="1">
        <v>925</v>
      </c>
      <c r="I227" s="1">
        <f>YEAR(Sales_Data[[#This Row],[Date]])</f>
        <v>2024</v>
      </c>
      <c r="J227" s="1" t="str">
        <f>TEXT(Sales_Data[[#This Row],[Date]],"mmmm")</f>
        <v>September</v>
      </c>
      <c r="K227" s="3">
        <f>Sales_Data[[#This Row],[Profit]]/Sales_Data[[#This Row],[Sales]]</f>
        <v>8.9614415810889358E-2</v>
      </c>
      <c r="L227" s="1" t="str">
        <f>IF(Sales_Data[[#This Row],[Profit Margin
Profit/Sales]]&gt;0,"Profit","Loss")</f>
        <v>Profit</v>
      </c>
    </row>
    <row r="228" spans="1:12" x14ac:dyDescent="0.35">
      <c r="A228" s="1">
        <v>1227</v>
      </c>
      <c r="B228" s="1" t="s">
        <v>188</v>
      </c>
      <c r="C228" s="1" t="s">
        <v>9</v>
      </c>
      <c r="D228" s="1" t="s">
        <v>29</v>
      </c>
      <c r="E228" s="1" t="s">
        <v>30</v>
      </c>
      <c r="F228" s="1">
        <v>51588</v>
      </c>
      <c r="G228" s="1">
        <v>1</v>
      </c>
      <c r="H228" s="1">
        <v>14954</v>
      </c>
      <c r="I228" s="1">
        <f>YEAR(Sales_Data[[#This Row],[Date]])</f>
        <v>2024</v>
      </c>
      <c r="J228" s="1" t="str">
        <f>TEXT(Sales_Data[[#This Row],[Date]],"mmmm")</f>
        <v>December</v>
      </c>
      <c r="K228" s="3">
        <f>Sales_Data[[#This Row],[Profit]]/Sales_Data[[#This Row],[Sales]]</f>
        <v>0.28987361401876405</v>
      </c>
      <c r="L228" s="1" t="str">
        <f>IF(Sales_Data[[#This Row],[Profit Margin
Profit/Sales]]&gt;0,"Profit","Loss")</f>
        <v>Profit</v>
      </c>
    </row>
    <row r="229" spans="1:12" x14ac:dyDescent="0.35">
      <c r="A229" s="1">
        <v>1228</v>
      </c>
      <c r="B229" s="1" t="s">
        <v>143</v>
      </c>
      <c r="C229" s="1" t="s">
        <v>9</v>
      </c>
      <c r="D229" s="1" t="s">
        <v>29</v>
      </c>
      <c r="E229" s="1" t="s">
        <v>41</v>
      </c>
      <c r="F229" s="1">
        <v>18870</v>
      </c>
      <c r="G229" s="1">
        <v>2</v>
      </c>
      <c r="H229" s="1">
        <v>3152</v>
      </c>
      <c r="I229" s="1">
        <f>YEAR(Sales_Data[[#This Row],[Date]])</f>
        <v>2024</v>
      </c>
      <c r="J229" s="1" t="str">
        <f>TEXT(Sales_Data[[#This Row],[Date]],"mmmm")</f>
        <v>August</v>
      </c>
      <c r="K229" s="3">
        <f>Sales_Data[[#This Row],[Profit]]/Sales_Data[[#This Row],[Sales]]</f>
        <v>0.16703762586115528</v>
      </c>
      <c r="L229" s="1" t="str">
        <f>IF(Sales_Data[[#This Row],[Profit Margin
Profit/Sales]]&gt;0,"Profit","Loss")</f>
        <v>Profit</v>
      </c>
    </row>
    <row r="230" spans="1:12" x14ac:dyDescent="0.35">
      <c r="A230" s="1">
        <v>1229</v>
      </c>
      <c r="B230" s="1" t="s">
        <v>189</v>
      </c>
      <c r="C230" s="1" t="s">
        <v>27</v>
      </c>
      <c r="D230" s="1" t="s">
        <v>10</v>
      </c>
      <c r="E230" s="1" t="s">
        <v>11</v>
      </c>
      <c r="F230" s="1">
        <v>55986</v>
      </c>
      <c r="G230" s="1">
        <v>1</v>
      </c>
      <c r="H230" s="1">
        <v>760</v>
      </c>
      <c r="I230" s="1">
        <f>YEAR(Sales_Data[[#This Row],[Date]])</f>
        <v>2024</v>
      </c>
      <c r="J230" s="1" t="str">
        <f>TEXT(Sales_Data[[#This Row],[Date]],"mmmm")</f>
        <v>September</v>
      </c>
      <c r="K230" s="3">
        <f>Sales_Data[[#This Row],[Profit]]/Sales_Data[[#This Row],[Sales]]</f>
        <v>1.3574822276997821E-2</v>
      </c>
      <c r="L230" s="1" t="str">
        <f>IF(Sales_Data[[#This Row],[Profit Margin
Profit/Sales]]&gt;0,"Profit","Loss")</f>
        <v>Profit</v>
      </c>
    </row>
    <row r="231" spans="1:12" x14ac:dyDescent="0.35">
      <c r="A231" s="1">
        <v>1230</v>
      </c>
      <c r="B231" s="1" t="s">
        <v>178</v>
      </c>
      <c r="C231" s="1" t="s">
        <v>9</v>
      </c>
      <c r="D231" s="1" t="s">
        <v>15</v>
      </c>
      <c r="E231" s="1" t="s">
        <v>16</v>
      </c>
      <c r="F231" s="1">
        <v>52697</v>
      </c>
      <c r="G231" s="1">
        <v>9</v>
      </c>
      <c r="H231" s="1">
        <v>14288</v>
      </c>
      <c r="I231" s="1">
        <f>YEAR(Sales_Data[[#This Row],[Date]])</f>
        <v>2024</v>
      </c>
      <c r="J231" s="1" t="str">
        <f>TEXT(Sales_Data[[#This Row],[Date]],"mmmm")</f>
        <v>March</v>
      </c>
      <c r="K231" s="3">
        <f>Sales_Data[[#This Row],[Profit]]/Sales_Data[[#This Row],[Sales]]</f>
        <v>0.27113497922082852</v>
      </c>
      <c r="L231" s="1" t="str">
        <f>IF(Sales_Data[[#This Row],[Profit Margin
Profit/Sales]]&gt;0,"Profit","Loss")</f>
        <v>Profit</v>
      </c>
    </row>
    <row r="232" spans="1:12" x14ac:dyDescent="0.35">
      <c r="A232" s="1">
        <v>1231</v>
      </c>
      <c r="B232" s="1" t="s">
        <v>190</v>
      </c>
      <c r="C232" s="1" t="s">
        <v>23</v>
      </c>
      <c r="D232" s="1" t="s">
        <v>29</v>
      </c>
      <c r="E232" s="1" t="s">
        <v>30</v>
      </c>
      <c r="F232" s="1">
        <v>35738</v>
      </c>
      <c r="G232" s="1">
        <v>10</v>
      </c>
      <c r="H232" s="1">
        <v>938</v>
      </c>
      <c r="I232" s="1">
        <f>YEAR(Sales_Data[[#This Row],[Date]])</f>
        <v>2024</v>
      </c>
      <c r="J232" s="1" t="str">
        <f>TEXT(Sales_Data[[#This Row],[Date]],"mmmm")</f>
        <v>August</v>
      </c>
      <c r="K232" s="3">
        <f>Sales_Data[[#This Row],[Profit]]/Sales_Data[[#This Row],[Sales]]</f>
        <v>2.6246572276008729E-2</v>
      </c>
      <c r="L232" s="1" t="str">
        <f>IF(Sales_Data[[#This Row],[Profit Margin
Profit/Sales]]&gt;0,"Profit","Loss")</f>
        <v>Profit</v>
      </c>
    </row>
    <row r="233" spans="1:12" x14ac:dyDescent="0.35">
      <c r="A233" s="1">
        <v>1232</v>
      </c>
      <c r="B233" s="1" t="s">
        <v>43</v>
      </c>
      <c r="C233" s="1" t="s">
        <v>20</v>
      </c>
      <c r="D233" s="1" t="s">
        <v>10</v>
      </c>
      <c r="E233" s="1" t="s">
        <v>34</v>
      </c>
      <c r="F233" s="1">
        <v>30447</v>
      </c>
      <c r="G233" s="1">
        <v>2</v>
      </c>
      <c r="H233" s="1">
        <v>7273</v>
      </c>
      <c r="I233" s="1">
        <f>YEAR(Sales_Data[[#This Row],[Date]])</f>
        <v>2024</v>
      </c>
      <c r="J233" s="1" t="str">
        <f>TEXT(Sales_Data[[#This Row],[Date]],"mmmm")</f>
        <v>April</v>
      </c>
      <c r="K233" s="3">
        <f>Sales_Data[[#This Row],[Profit]]/Sales_Data[[#This Row],[Sales]]</f>
        <v>0.23887410910762966</v>
      </c>
      <c r="L233" s="1" t="str">
        <f>IF(Sales_Data[[#This Row],[Profit Margin
Profit/Sales]]&gt;0,"Profit","Loss")</f>
        <v>Profit</v>
      </c>
    </row>
    <row r="234" spans="1:12" x14ac:dyDescent="0.35">
      <c r="A234" s="1">
        <v>1233</v>
      </c>
      <c r="B234" s="1" t="s">
        <v>187</v>
      </c>
      <c r="C234" s="1" t="s">
        <v>20</v>
      </c>
      <c r="D234" s="1" t="s">
        <v>15</v>
      </c>
      <c r="E234" s="1" t="s">
        <v>16</v>
      </c>
      <c r="F234" s="1">
        <v>41168</v>
      </c>
      <c r="G234" s="1">
        <v>2</v>
      </c>
      <c r="H234" s="1">
        <v>2490</v>
      </c>
      <c r="I234" s="1">
        <f>YEAR(Sales_Data[[#This Row],[Date]])</f>
        <v>2024</v>
      </c>
      <c r="J234" s="1" t="str">
        <f>TEXT(Sales_Data[[#This Row],[Date]],"mmmm")</f>
        <v>September</v>
      </c>
      <c r="K234" s="3">
        <f>Sales_Data[[#This Row],[Profit]]/Sales_Data[[#This Row],[Sales]]</f>
        <v>6.0483870967741937E-2</v>
      </c>
      <c r="L234" s="1" t="str">
        <f>IF(Sales_Data[[#This Row],[Profit Margin
Profit/Sales]]&gt;0,"Profit","Loss")</f>
        <v>Profit</v>
      </c>
    </row>
    <row r="235" spans="1:12" x14ac:dyDescent="0.35">
      <c r="A235" s="1">
        <v>1234</v>
      </c>
      <c r="B235" s="1" t="s">
        <v>187</v>
      </c>
      <c r="C235" s="1" t="s">
        <v>27</v>
      </c>
      <c r="D235" s="1" t="s">
        <v>10</v>
      </c>
      <c r="E235" s="1" t="s">
        <v>11</v>
      </c>
      <c r="F235" s="1">
        <v>44540</v>
      </c>
      <c r="G235" s="1">
        <v>6</v>
      </c>
      <c r="H235" s="1">
        <v>6318</v>
      </c>
      <c r="I235" s="1">
        <f>YEAR(Sales_Data[[#This Row],[Date]])</f>
        <v>2024</v>
      </c>
      <c r="J235" s="1" t="str">
        <f>TEXT(Sales_Data[[#This Row],[Date]],"mmmm")</f>
        <v>September</v>
      </c>
      <c r="K235" s="3">
        <f>Sales_Data[[#This Row],[Profit]]/Sales_Data[[#This Row],[Sales]]</f>
        <v>0.14185002245172879</v>
      </c>
      <c r="L235" s="1" t="str">
        <f>IF(Sales_Data[[#This Row],[Profit Margin
Profit/Sales]]&gt;0,"Profit","Loss")</f>
        <v>Profit</v>
      </c>
    </row>
    <row r="236" spans="1:12" x14ac:dyDescent="0.35">
      <c r="A236" s="1">
        <v>1235</v>
      </c>
      <c r="B236" s="1" t="s">
        <v>191</v>
      </c>
      <c r="C236" s="1" t="s">
        <v>27</v>
      </c>
      <c r="D236" s="1" t="s">
        <v>10</v>
      </c>
      <c r="E236" s="1" t="s">
        <v>34</v>
      </c>
      <c r="F236" s="1">
        <v>9759</v>
      </c>
      <c r="G236" s="1">
        <v>2</v>
      </c>
      <c r="H236" s="1">
        <v>2534</v>
      </c>
      <c r="I236" s="1">
        <f>YEAR(Sales_Data[[#This Row],[Date]])</f>
        <v>2024</v>
      </c>
      <c r="J236" s="1" t="str">
        <f>TEXT(Sales_Data[[#This Row],[Date]],"mmmm")</f>
        <v>August</v>
      </c>
      <c r="K236" s="3">
        <f>Sales_Data[[#This Row],[Profit]]/Sales_Data[[#This Row],[Sales]]</f>
        <v>0.25965775181883388</v>
      </c>
      <c r="L236" s="1" t="str">
        <f>IF(Sales_Data[[#This Row],[Profit Margin
Profit/Sales]]&gt;0,"Profit","Loss")</f>
        <v>Profit</v>
      </c>
    </row>
    <row r="237" spans="1:12" x14ac:dyDescent="0.35">
      <c r="A237" s="1">
        <v>1236</v>
      </c>
      <c r="B237" s="1" t="s">
        <v>192</v>
      </c>
      <c r="C237" s="1" t="s">
        <v>23</v>
      </c>
      <c r="D237" s="1" t="s">
        <v>15</v>
      </c>
      <c r="E237" s="1" t="s">
        <v>16</v>
      </c>
      <c r="F237" s="1">
        <v>35375</v>
      </c>
      <c r="G237" s="1">
        <v>8</v>
      </c>
      <c r="H237" s="1">
        <v>3937</v>
      </c>
      <c r="I237" s="1">
        <f>YEAR(Sales_Data[[#This Row],[Date]])</f>
        <v>2024</v>
      </c>
      <c r="J237" s="1" t="str">
        <f>TEXT(Sales_Data[[#This Row],[Date]],"mmmm")</f>
        <v>May</v>
      </c>
      <c r="K237" s="3">
        <f>Sales_Data[[#This Row],[Profit]]/Sales_Data[[#This Row],[Sales]]</f>
        <v>0.11129328621908127</v>
      </c>
      <c r="L237" s="1" t="str">
        <f>IF(Sales_Data[[#This Row],[Profit Margin
Profit/Sales]]&gt;0,"Profit","Loss")</f>
        <v>Profit</v>
      </c>
    </row>
    <row r="238" spans="1:12" x14ac:dyDescent="0.35">
      <c r="A238" s="1">
        <v>1237</v>
      </c>
      <c r="B238" s="1" t="s">
        <v>113</v>
      </c>
      <c r="C238" s="1" t="s">
        <v>27</v>
      </c>
      <c r="D238" s="1" t="s">
        <v>15</v>
      </c>
      <c r="E238" s="1" t="s">
        <v>16</v>
      </c>
      <c r="F238" s="1">
        <v>3224</v>
      </c>
      <c r="G238" s="1">
        <v>3</v>
      </c>
      <c r="H238" s="1">
        <v>264</v>
      </c>
      <c r="I238" s="1">
        <f>YEAR(Sales_Data[[#This Row],[Date]])</f>
        <v>2024</v>
      </c>
      <c r="J238" s="1" t="str">
        <f>TEXT(Sales_Data[[#This Row],[Date]],"mmmm")</f>
        <v>November</v>
      </c>
      <c r="K238" s="3">
        <f>Sales_Data[[#This Row],[Profit]]/Sales_Data[[#This Row],[Sales]]</f>
        <v>8.1885856079404462E-2</v>
      </c>
      <c r="L238" s="1" t="str">
        <f>IF(Sales_Data[[#This Row],[Profit Margin
Profit/Sales]]&gt;0,"Profit","Loss")</f>
        <v>Profit</v>
      </c>
    </row>
    <row r="239" spans="1:12" x14ac:dyDescent="0.35">
      <c r="A239" s="1">
        <v>1238</v>
      </c>
      <c r="B239" s="1" t="s">
        <v>99</v>
      </c>
      <c r="C239" s="1" t="s">
        <v>20</v>
      </c>
      <c r="D239" s="1" t="s">
        <v>15</v>
      </c>
      <c r="E239" s="1" t="s">
        <v>21</v>
      </c>
      <c r="F239" s="1">
        <v>37846</v>
      </c>
      <c r="G239" s="1">
        <v>2</v>
      </c>
      <c r="H239" s="1">
        <v>6437</v>
      </c>
      <c r="I239" s="1">
        <f>YEAR(Sales_Data[[#This Row],[Date]])</f>
        <v>2024</v>
      </c>
      <c r="J239" s="1" t="str">
        <f>TEXT(Sales_Data[[#This Row],[Date]],"mmmm")</f>
        <v>July</v>
      </c>
      <c r="K239" s="3">
        <f>Sales_Data[[#This Row],[Profit]]/Sales_Data[[#This Row],[Sales]]</f>
        <v>0.17008402473180786</v>
      </c>
      <c r="L239" s="1" t="str">
        <f>IF(Sales_Data[[#This Row],[Profit Margin
Profit/Sales]]&gt;0,"Profit","Loss")</f>
        <v>Profit</v>
      </c>
    </row>
    <row r="240" spans="1:12" x14ac:dyDescent="0.35">
      <c r="A240" s="1">
        <v>1239</v>
      </c>
      <c r="B240" s="1" t="s">
        <v>193</v>
      </c>
      <c r="C240" s="1" t="s">
        <v>27</v>
      </c>
      <c r="D240" s="1" t="s">
        <v>29</v>
      </c>
      <c r="E240" s="1" t="s">
        <v>41</v>
      </c>
      <c r="F240" s="1">
        <v>21637</v>
      </c>
      <c r="G240" s="1">
        <v>9</v>
      </c>
      <c r="H240" s="1">
        <v>2716</v>
      </c>
      <c r="I240" s="1">
        <f>YEAR(Sales_Data[[#This Row],[Date]])</f>
        <v>2024</v>
      </c>
      <c r="J240" s="1" t="str">
        <f>TEXT(Sales_Data[[#This Row],[Date]],"mmmm")</f>
        <v>January</v>
      </c>
      <c r="K240" s="3">
        <f>Sales_Data[[#This Row],[Profit]]/Sales_Data[[#This Row],[Sales]]</f>
        <v>0.12552571983176966</v>
      </c>
      <c r="L240" s="1" t="str">
        <f>IF(Sales_Data[[#This Row],[Profit Margin
Profit/Sales]]&gt;0,"Profit","Loss")</f>
        <v>Profit</v>
      </c>
    </row>
    <row r="241" spans="1:12" x14ac:dyDescent="0.35">
      <c r="A241" s="1">
        <v>1240</v>
      </c>
      <c r="B241" s="1" t="s">
        <v>32</v>
      </c>
      <c r="C241" s="1" t="s">
        <v>23</v>
      </c>
      <c r="D241" s="1" t="s">
        <v>29</v>
      </c>
      <c r="E241" s="1" t="s">
        <v>49</v>
      </c>
      <c r="F241" s="1">
        <v>19686</v>
      </c>
      <c r="G241" s="1">
        <v>5</v>
      </c>
      <c r="H241" s="1">
        <v>4140</v>
      </c>
      <c r="I241" s="1">
        <f>YEAR(Sales_Data[[#This Row],[Date]])</f>
        <v>2024</v>
      </c>
      <c r="J241" s="1" t="str">
        <f>TEXT(Sales_Data[[#This Row],[Date]],"mmmm")</f>
        <v>March</v>
      </c>
      <c r="K241" s="3">
        <f>Sales_Data[[#This Row],[Profit]]/Sales_Data[[#This Row],[Sales]]</f>
        <v>0.21030173727522097</v>
      </c>
      <c r="L241" s="1" t="str">
        <f>IF(Sales_Data[[#This Row],[Profit Margin
Profit/Sales]]&gt;0,"Profit","Loss")</f>
        <v>Profit</v>
      </c>
    </row>
    <row r="242" spans="1:12" x14ac:dyDescent="0.35">
      <c r="A242" s="1">
        <v>1241</v>
      </c>
      <c r="B242" s="1" t="s">
        <v>194</v>
      </c>
      <c r="C242" s="1" t="s">
        <v>20</v>
      </c>
      <c r="D242" s="1" t="s">
        <v>29</v>
      </c>
      <c r="E242" s="1" t="s">
        <v>41</v>
      </c>
      <c r="F242" s="1">
        <v>37217</v>
      </c>
      <c r="G242" s="1">
        <v>2</v>
      </c>
      <c r="H242" s="1">
        <v>2713</v>
      </c>
      <c r="I242" s="1">
        <f>YEAR(Sales_Data[[#This Row],[Date]])</f>
        <v>2024</v>
      </c>
      <c r="J242" s="1" t="str">
        <f>TEXT(Sales_Data[[#This Row],[Date]],"mmmm")</f>
        <v>May</v>
      </c>
      <c r="K242" s="3">
        <f>Sales_Data[[#This Row],[Profit]]/Sales_Data[[#This Row],[Sales]]</f>
        <v>7.2896794475642845E-2</v>
      </c>
      <c r="L242" s="1" t="str">
        <f>IF(Sales_Data[[#This Row],[Profit Margin
Profit/Sales]]&gt;0,"Profit","Loss")</f>
        <v>Profit</v>
      </c>
    </row>
    <row r="243" spans="1:12" x14ac:dyDescent="0.35">
      <c r="A243" s="1">
        <v>1242</v>
      </c>
      <c r="B243" s="1" t="s">
        <v>58</v>
      </c>
      <c r="C243" s="1" t="s">
        <v>23</v>
      </c>
      <c r="D243" s="1" t="s">
        <v>29</v>
      </c>
      <c r="E243" s="1" t="s">
        <v>30</v>
      </c>
      <c r="F243" s="1">
        <v>48216</v>
      </c>
      <c r="G243" s="1">
        <v>3</v>
      </c>
      <c r="H243" s="1">
        <v>805</v>
      </c>
      <c r="I243" s="1">
        <f>YEAR(Sales_Data[[#This Row],[Date]])</f>
        <v>2024</v>
      </c>
      <c r="J243" s="1" t="str">
        <f>TEXT(Sales_Data[[#This Row],[Date]],"mmmm")</f>
        <v>October</v>
      </c>
      <c r="K243" s="3">
        <f>Sales_Data[[#This Row],[Profit]]/Sales_Data[[#This Row],[Sales]]</f>
        <v>1.6695702671312429E-2</v>
      </c>
      <c r="L243" s="1" t="str">
        <f>IF(Sales_Data[[#This Row],[Profit Margin
Profit/Sales]]&gt;0,"Profit","Loss")</f>
        <v>Profit</v>
      </c>
    </row>
    <row r="244" spans="1:12" x14ac:dyDescent="0.35">
      <c r="A244" s="1">
        <v>1243</v>
      </c>
      <c r="B244" s="1" t="s">
        <v>98</v>
      </c>
      <c r="C244" s="1" t="s">
        <v>9</v>
      </c>
      <c r="D244" s="1" t="s">
        <v>29</v>
      </c>
      <c r="E244" s="1" t="s">
        <v>41</v>
      </c>
      <c r="F244" s="1">
        <v>34608</v>
      </c>
      <c r="G244" s="1">
        <v>6</v>
      </c>
      <c r="H244" s="1">
        <v>6437</v>
      </c>
      <c r="I244" s="1">
        <f>YEAR(Sales_Data[[#This Row],[Date]])</f>
        <v>2024</v>
      </c>
      <c r="J244" s="1" t="str">
        <f>TEXT(Sales_Data[[#This Row],[Date]],"mmmm")</f>
        <v>December</v>
      </c>
      <c r="K244" s="3">
        <f>Sales_Data[[#This Row],[Profit]]/Sales_Data[[#This Row],[Sales]]</f>
        <v>0.18599745723532132</v>
      </c>
      <c r="L244" s="1" t="str">
        <f>IF(Sales_Data[[#This Row],[Profit Margin
Profit/Sales]]&gt;0,"Profit","Loss")</f>
        <v>Profit</v>
      </c>
    </row>
    <row r="245" spans="1:12" x14ac:dyDescent="0.35">
      <c r="A245" s="1">
        <v>1244</v>
      </c>
      <c r="B245" s="1" t="s">
        <v>195</v>
      </c>
      <c r="C245" s="1" t="s">
        <v>23</v>
      </c>
      <c r="D245" s="1" t="s">
        <v>29</v>
      </c>
      <c r="E245" s="1" t="s">
        <v>30</v>
      </c>
      <c r="F245" s="1">
        <v>14941</v>
      </c>
      <c r="G245" s="1">
        <v>5</v>
      </c>
      <c r="H245" s="1">
        <v>4225</v>
      </c>
      <c r="I245" s="1">
        <f>YEAR(Sales_Data[[#This Row],[Date]])</f>
        <v>2024</v>
      </c>
      <c r="J245" s="1" t="str">
        <f>TEXT(Sales_Data[[#This Row],[Date]],"mmmm")</f>
        <v>November</v>
      </c>
      <c r="K245" s="3">
        <f>Sales_Data[[#This Row],[Profit]]/Sales_Data[[#This Row],[Sales]]</f>
        <v>0.28277893045980856</v>
      </c>
      <c r="L245" s="1" t="str">
        <f>IF(Sales_Data[[#This Row],[Profit Margin
Profit/Sales]]&gt;0,"Profit","Loss")</f>
        <v>Profit</v>
      </c>
    </row>
    <row r="246" spans="1:12" x14ac:dyDescent="0.35">
      <c r="A246" s="1">
        <v>1245</v>
      </c>
      <c r="B246" s="1" t="s">
        <v>196</v>
      </c>
      <c r="C246" s="1" t="s">
        <v>23</v>
      </c>
      <c r="D246" s="1" t="s">
        <v>15</v>
      </c>
      <c r="E246" s="1" t="s">
        <v>18</v>
      </c>
      <c r="F246" s="1">
        <v>50383</v>
      </c>
      <c r="G246" s="1">
        <v>6</v>
      </c>
      <c r="H246" s="1">
        <v>11298</v>
      </c>
      <c r="I246" s="1">
        <f>YEAR(Sales_Data[[#This Row],[Date]])</f>
        <v>2024</v>
      </c>
      <c r="J246" s="1" t="str">
        <f>TEXT(Sales_Data[[#This Row],[Date]],"mmmm")</f>
        <v>April</v>
      </c>
      <c r="K246" s="3">
        <f>Sales_Data[[#This Row],[Profit]]/Sales_Data[[#This Row],[Sales]]</f>
        <v>0.22424230395172975</v>
      </c>
      <c r="L246" s="1" t="str">
        <f>IF(Sales_Data[[#This Row],[Profit Margin
Profit/Sales]]&gt;0,"Profit","Loss")</f>
        <v>Profit</v>
      </c>
    </row>
    <row r="247" spans="1:12" x14ac:dyDescent="0.35">
      <c r="A247" s="1">
        <v>1246</v>
      </c>
      <c r="B247" s="1" t="s">
        <v>197</v>
      </c>
      <c r="C247" s="1" t="s">
        <v>27</v>
      </c>
      <c r="D247" s="1" t="s">
        <v>15</v>
      </c>
      <c r="E247" s="1" t="s">
        <v>21</v>
      </c>
      <c r="F247" s="1">
        <v>26348</v>
      </c>
      <c r="G247" s="1">
        <v>3</v>
      </c>
      <c r="H247" s="1">
        <v>5797</v>
      </c>
      <c r="I247" s="1">
        <f>YEAR(Sales_Data[[#This Row],[Date]])</f>
        <v>2024</v>
      </c>
      <c r="J247" s="1" t="str">
        <f>TEXT(Sales_Data[[#This Row],[Date]],"mmmm")</f>
        <v>December</v>
      </c>
      <c r="K247" s="3">
        <f>Sales_Data[[#This Row],[Profit]]/Sales_Data[[#This Row],[Sales]]</f>
        <v>0.22001669955973888</v>
      </c>
      <c r="L247" s="1" t="str">
        <f>IF(Sales_Data[[#This Row],[Profit Margin
Profit/Sales]]&gt;0,"Profit","Loss")</f>
        <v>Profit</v>
      </c>
    </row>
    <row r="248" spans="1:12" x14ac:dyDescent="0.35">
      <c r="A248" s="1">
        <v>1247</v>
      </c>
      <c r="B248" s="1" t="s">
        <v>198</v>
      </c>
      <c r="C248" s="1" t="s">
        <v>27</v>
      </c>
      <c r="D248" s="1" t="s">
        <v>10</v>
      </c>
      <c r="E248" s="1" t="s">
        <v>34</v>
      </c>
      <c r="F248" s="1">
        <v>49865</v>
      </c>
      <c r="G248" s="1">
        <v>8</v>
      </c>
      <c r="H248" s="1">
        <v>743</v>
      </c>
      <c r="I248" s="1">
        <f>YEAR(Sales_Data[[#This Row],[Date]])</f>
        <v>2024</v>
      </c>
      <c r="J248" s="1" t="str">
        <f>TEXT(Sales_Data[[#This Row],[Date]],"mmmm")</f>
        <v>March</v>
      </c>
      <c r="K248" s="3">
        <f>Sales_Data[[#This Row],[Profit]]/Sales_Data[[#This Row],[Sales]]</f>
        <v>1.4900230622681239E-2</v>
      </c>
      <c r="L248" s="1" t="str">
        <f>IF(Sales_Data[[#This Row],[Profit Margin
Profit/Sales]]&gt;0,"Profit","Loss")</f>
        <v>Profit</v>
      </c>
    </row>
    <row r="249" spans="1:12" x14ac:dyDescent="0.35">
      <c r="A249" s="1">
        <v>1248</v>
      </c>
      <c r="B249" s="1" t="s">
        <v>54</v>
      </c>
      <c r="C249" s="1" t="s">
        <v>20</v>
      </c>
      <c r="D249" s="1" t="s">
        <v>10</v>
      </c>
      <c r="E249" s="1" t="s">
        <v>13</v>
      </c>
      <c r="F249" s="1">
        <v>18016</v>
      </c>
      <c r="G249" s="1">
        <v>8</v>
      </c>
      <c r="H249" s="1">
        <v>532</v>
      </c>
      <c r="I249" s="1">
        <f>YEAR(Sales_Data[[#This Row],[Date]])</f>
        <v>2024</v>
      </c>
      <c r="J249" s="1" t="str">
        <f>TEXT(Sales_Data[[#This Row],[Date]],"mmmm")</f>
        <v>March</v>
      </c>
      <c r="K249" s="3">
        <f>Sales_Data[[#This Row],[Profit]]/Sales_Data[[#This Row],[Sales]]</f>
        <v>2.952930728241563E-2</v>
      </c>
      <c r="L249" s="1" t="str">
        <f>IF(Sales_Data[[#This Row],[Profit Margin
Profit/Sales]]&gt;0,"Profit","Loss")</f>
        <v>Profit</v>
      </c>
    </row>
    <row r="250" spans="1:12" x14ac:dyDescent="0.35">
      <c r="A250" s="1">
        <v>1249</v>
      </c>
      <c r="B250" s="1" t="s">
        <v>199</v>
      </c>
      <c r="C250" s="1" t="s">
        <v>27</v>
      </c>
      <c r="D250" s="1" t="s">
        <v>15</v>
      </c>
      <c r="E250" s="1" t="s">
        <v>18</v>
      </c>
      <c r="F250" s="1">
        <v>6644</v>
      </c>
      <c r="G250" s="1">
        <v>4</v>
      </c>
      <c r="H250" s="1">
        <v>636</v>
      </c>
      <c r="I250" s="1">
        <f>YEAR(Sales_Data[[#This Row],[Date]])</f>
        <v>2024</v>
      </c>
      <c r="J250" s="1" t="str">
        <f>TEXT(Sales_Data[[#This Row],[Date]],"mmmm")</f>
        <v>August</v>
      </c>
      <c r="K250" s="3">
        <f>Sales_Data[[#This Row],[Profit]]/Sales_Data[[#This Row],[Sales]]</f>
        <v>9.5725466586393734E-2</v>
      </c>
      <c r="L250" s="1" t="str">
        <f>IF(Sales_Data[[#This Row],[Profit Margin
Profit/Sales]]&gt;0,"Profit","Loss")</f>
        <v>Profit</v>
      </c>
    </row>
    <row r="251" spans="1:12" x14ac:dyDescent="0.35">
      <c r="A251" s="1">
        <v>1250</v>
      </c>
      <c r="B251" s="1" t="s">
        <v>200</v>
      </c>
      <c r="C251" s="1" t="s">
        <v>23</v>
      </c>
      <c r="D251" s="1" t="s">
        <v>10</v>
      </c>
      <c r="E251" s="1" t="s">
        <v>13</v>
      </c>
      <c r="F251" s="1">
        <v>20394</v>
      </c>
      <c r="G251" s="1">
        <v>9</v>
      </c>
      <c r="H251" s="1">
        <v>2408</v>
      </c>
      <c r="I251" s="1">
        <f>YEAR(Sales_Data[[#This Row],[Date]])</f>
        <v>2024</v>
      </c>
      <c r="J251" s="1" t="str">
        <f>TEXT(Sales_Data[[#This Row],[Date]],"mmmm")</f>
        <v>March</v>
      </c>
      <c r="K251" s="3">
        <f>Sales_Data[[#This Row],[Profit]]/Sales_Data[[#This Row],[Sales]]</f>
        <v>0.11807394331666177</v>
      </c>
      <c r="L251" s="1" t="str">
        <f>IF(Sales_Data[[#This Row],[Profit Margin
Profit/Sales]]&gt;0,"Profit","Loss")</f>
        <v>Profit</v>
      </c>
    </row>
    <row r="252" spans="1:12" x14ac:dyDescent="0.35">
      <c r="A252" s="1">
        <v>1251</v>
      </c>
      <c r="B252" s="1" t="s">
        <v>201</v>
      </c>
      <c r="C252" s="1" t="s">
        <v>9</v>
      </c>
      <c r="D252" s="1" t="s">
        <v>15</v>
      </c>
      <c r="E252" s="1" t="s">
        <v>16</v>
      </c>
      <c r="F252" s="1">
        <v>26941</v>
      </c>
      <c r="G252" s="1">
        <v>8</v>
      </c>
      <c r="H252" s="1">
        <v>1837</v>
      </c>
      <c r="I252" s="1">
        <f>YEAR(Sales_Data[[#This Row],[Date]])</f>
        <v>2024</v>
      </c>
      <c r="J252" s="1" t="str">
        <f>TEXT(Sales_Data[[#This Row],[Date]],"mmmm")</f>
        <v>July</v>
      </c>
      <c r="K252" s="3">
        <f>Sales_Data[[#This Row],[Profit]]/Sales_Data[[#This Row],[Sales]]</f>
        <v>6.8186036153075238E-2</v>
      </c>
      <c r="L252" s="1" t="str">
        <f>IF(Sales_Data[[#This Row],[Profit Margin
Profit/Sales]]&gt;0,"Profit","Loss")</f>
        <v>Profit</v>
      </c>
    </row>
    <row r="253" spans="1:12" x14ac:dyDescent="0.35">
      <c r="A253" s="1">
        <v>1252</v>
      </c>
      <c r="B253" s="1" t="s">
        <v>202</v>
      </c>
      <c r="C253" s="1" t="s">
        <v>23</v>
      </c>
      <c r="D253" s="1" t="s">
        <v>10</v>
      </c>
      <c r="E253" s="1" t="s">
        <v>34</v>
      </c>
      <c r="F253" s="1">
        <v>59022</v>
      </c>
      <c r="G253" s="1">
        <v>6</v>
      </c>
      <c r="H253" s="1">
        <v>8198</v>
      </c>
      <c r="I253" s="1">
        <f>YEAR(Sales_Data[[#This Row],[Date]])</f>
        <v>2024</v>
      </c>
      <c r="J253" s="1" t="str">
        <f>TEXT(Sales_Data[[#This Row],[Date]],"mmmm")</f>
        <v>July</v>
      </c>
      <c r="K253" s="3">
        <f>Sales_Data[[#This Row],[Profit]]/Sales_Data[[#This Row],[Sales]]</f>
        <v>0.13889736030632646</v>
      </c>
      <c r="L253" s="1" t="str">
        <f>IF(Sales_Data[[#This Row],[Profit Margin
Profit/Sales]]&gt;0,"Profit","Loss")</f>
        <v>Profit</v>
      </c>
    </row>
    <row r="254" spans="1:12" x14ac:dyDescent="0.35">
      <c r="A254" s="1">
        <v>1253</v>
      </c>
      <c r="B254" s="1" t="s">
        <v>203</v>
      </c>
      <c r="C254" s="1" t="s">
        <v>20</v>
      </c>
      <c r="D254" s="1" t="s">
        <v>10</v>
      </c>
      <c r="E254" s="1" t="s">
        <v>13</v>
      </c>
      <c r="F254" s="1">
        <v>18158</v>
      </c>
      <c r="G254" s="1">
        <v>5</v>
      </c>
      <c r="H254" s="1">
        <v>5238</v>
      </c>
      <c r="I254" s="1">
        <f>YEAR(Sales_Data[[#This Row],[Date]])</f>
        <v>2024</v>
      </c>
      <c r="J254" s="1" t="str">
        <f>TEXT(Sales_Data[[#This Row],[Date]],"mmmm")</f>
        <v>March</v>
      </c>
      <c r="K254" s="3">
        <f>Sales_Data[[#This Row],[Profit]]/Sales_Data[[#This Row],[Sales]]</f>
        <v>0.28846789293975106</v>
      </c>
      <c r="L254" s="1" t="str">
        <f>IF(Sales_Data[[#This Row],[Profit Margin
Profit/Sales]]&gt;0,"Profit","Loss")</f>
        <v>Profit</v>
      </c>
    </row>
    <row r="255" spans="1:12" x14ac:dyDescent="0.35">
      <c r="A255" s="1">
        <v>1254</v>
      </c>
      <c r="B255" s="1" t="s">
        <v>150</v>
      </c>
      <c r="C255" s="1" t="s">
        <v>23</v>
      </c>
      <c r="D255" s="1" t="s">
        <v>15</v>
      </c>
      <c r="E255" s="1" t="s">
        <v>21</v>
      </c>
      <c r="F255" s="1">
        <v>37855</v>
      </c>
      <c r="G255" s="1">
        <v>8</v>
      </c>
      <c r="H255" s="1">
        <v>1574</v>
      </c>
      <c r="I255" s="1">
        <f>YEAR(Sales_Data[[#This Row],[Date]])</f>
        <v>2024</v>
      </c>
      <c r="J255" s="1" t="str">
        <f>TEXT(Sales_Data[[#This Row],[Date]],"mmmm")</f>
        <v>October</v>
      </c>
      <c r="K255" s="3">
        <f>Sales_Data[[#This Row],[Profit]]/Sales_Data[[#This Row],[Sales]]</f>
        <v>4.1579712059173164E-2</v>
      </c>
      <c r="L255" s="1" t="str">
        <f>IF(Sales_Data[[#This Row],[Profit Margin
Profit/Sales]]&gt;0,"Profit","Loss")</f>
        <v>Profit</v>
      </c>
    </row>
    <row r="256" spans="1:12" x14ac:dyDescent="0.35">
      <c r="A256" s="1">
        <v>1255</v>
      </c>
      <c r="B256" s="1" t="s">
        <v>204</v>
      </c>
      <c r="C256" s="1" t="s">
        <v>20</v>
      </c>
      <c r="D256" s="1" t="s">
        <v>29</v>
      </c>
      <c r="E256" s="1" t="s">
        <v>49</v>
      </c>
      <c r="F256" s="1">
        <v>29109</v>
      </c>
      <c r="G256" s="1">
        <v>5</v>
      </c>
      <c r="H256" s="1">
        <v>6507</v>
      </c>
      <c r="I256" s="1">
        <f>YEAR(Sales_Data[[#This Row],[Date]])</f>
        <v>2024</v>
      </c>
      <c r="J256" s="1" t="str">
        <f>TEXT(Sales_Data[[#This Row],[Date]],"mmmm")</f>
        <v>October</v>
      </c>
      <c r="K256" s="3">
        <f>Sales_Data[[#This Row],[Profit]]/Sales_Data[[#This Row],[Sales]]</f>
        <v>0.22353911161496445</v>
      </c>
      <c r="L256" s="1" t="str">
        <f>IF(Sales_Data[[#This Row],[Profit Margin
Profit/Sales]]&gt;0,"Profit","Loss")</f>
        <v>Profit</v>
      </c>
    </row>
    <row r="257" spans="1:12" x14ac:dyDescent="0.35">
      <c r="A257" s="1">
        <v>1256</v>
      </c>
      <c r="B257" s="1" t="s">
        <v>205</v>
      </c>
      <c r="C257" s="1" t="s">
        <v>23</v>
      </c>
      <c r="D257" s="1" t="s">
        <v>15</v>
      </c>
      <c r="E257" s="1" t="s">
        <v>16</v>
      </c>
      <c r="F257" s="1">
        <v>55015</v>
      </c>
      <c r="G257" s="1">
        <v>10</v>
      </c>
      <c r="H257" s="1">
        <v>12301</v>
      </c>
      <c r="I257" s="1">
        <f>YEAR(Sales_Data[[#This Row],[Date]])</f>
        <v>2024</v>
      </c>
      <c r="J257" s="1" t="str">
        <f>TEXT(Sales_Data[[#This Row],[Date]],"mmmm")</f>
        <v>May</v>
      </c>
      <c r="K257" s="3">
        <f>Sales_Data[[#This Row],[Profit]]/Sales_Data[[#This Row],[Sales]]</f>
        <v>0.22359356539125694</v>
      </c>
      <c r="L257" s="1" t="str">
        <f>IF(Sales_Data[[#This Row],[Profit Margin
Profit/Sales]]&gt;0,"Profit","Loss")</f>
        <v>Profit</v>
      </c>
    </row>
    <row r="258" spans="1:12" x14ac:dyDescent="0.35">
      <c r="A258" s="1">
        <v>1257</v>
      </c>
      <c r="B258" s="1" t="s">
        <v>206</v>
      </c>
      <c r="C258" s="1" t="s">
        <v>20</v>
      </c>
      <c r="D258" s="1" t="s">
        <v>15</v>
      </c>
      <c r="E258" s="1" t="s">
        <v>16</v>
      </c>
      <c r="F258" s="1">
        <v>55070</v>
      </c>
      <c r="G258" s="1">
        <v>1</v>
      </c>
      <c r="H258" s="1">
        <v>15483</v>
      </c>
      <c r="I258" s="1">
        <f>YEAR(Sales_Data[[#This Row],[Date]])</f>
        <v>2024</v>
      </c>
      <c r="J258" s="1" t="str">
        <f>TEXT(Sales_Data[[#This Row],[Date]],"mmmm")</f>
        <v>July</v>
      </c>
      <c r="K258" s="3">
        <f>Sales_Data[[#This Row],[Profit]]/Sales_Data[[#This Row],[Sales]]</f>
        <v>0.28115126203014346</v>
      </c>
      <c r="L258" s="1" t="str">
        <f>IF(Sales_Data[[#This Row],[Profit Margin
Profit/Sales]]&gt;0,"Profit","Loss")</f>
        <v>Profit</v>
      </c>
    </row>
    <row r="259" spans="1:12" x14ac:dyDescent="0.35">
      <c r="A259" s="1">
        <v>1258</v>
      </c>
      <c r="B259" s="1" t="s">
        <v>201</v>
      </c>
      <c r="C259" s="1" t="s">
        <v>27</v>
      </c>
      <c r="D259" s="1" t="s">
        <v>15</v>
      </c>
      <c r="E259" s="1" t="s">
        <v>18</v>
      </c>
      <c r="F259" s="1">
        <v>55524</v>
      </c>
      <c r="G259" s="1">
        <v>2</v>
      </c>
      <c r="H259" s="1">
        <v>14837</v>
      </c>
      <c r="I259" s="1">
        <f>YEAR(Sales_Data[[#This Row],[Date]])</f>
        <v>2024</v>
      </c>
      <c r="J259" s="1" t="str">
        <f>TEXT(Sales_Data[[#This Row],[Date]],"mmmm")</f>
        <v>July</v>
      </c>
      <c r="K259" s="3">
        <f>Sales_Data[[#This Row],[Profit]]/Sales_Data[[#This Row],[Sales]]</f>
        <v>0.26721777969886895</v>
      </c>
      <c r="L259" s="1" t="str">
        <f>IF(Sales_Data[[#This Row],[Profit Margin
Profit/Sales]]&gt;0,"Profit","Loss")</f>
        <v>Profit</v>
      </c>
    </row>
    <row r="260" spans="1:12" x14ac:dyDescent="0.35">
      <c r="A260" s="1">
        <v>1259</v>
      </c>
      <c r="B260" s="1" t="s">
        <v>160</v>
      </c>
      <c r="C260" s="1" t="s">
        <v>23</v>
      </c>
      <c r="D260" s="1" t="s">
        <v>10</v>
      </c>
      <c r="E260" s="1" t="s">
        <v>34</v>
      </c>
      <c r="F260" s="1">
        <v>59769</v>
      </c>
      <c r="G260" s="1">
        <v>6</v>
      </c>
      <c r="H260" s="1">
        <v>5466</v>
      </c>
      <c r="I260" s="1">
        <f>YEAR(Sales_Data[[#This Row],[Date]])</f>
        <v>2024</v>
      </c>
      <c r="J260" s="1" t="str">
        <f>TEXT(Sales_Data[[#This Row],[Date]],"mmmm")</f>
        <v>November</v>
      </c>
      <c r="K260" s="3">
        <f>Sales_Data[[#This Row],[Profit]]/Sales_Data[[#This Row],[Sales]]</f>
        <v>9.1452090548612155E-2</v>
      </c>
      <c r="L260" s="1" t="str">
        <f>IF(Sales_Data[[#This Row],[Profit Margin
Profit/Sales]]&gt;0,"Profit","Loss")</f>
        <v>Profit</v>
      </c>
    </row>
    <row r="261" spans="1:12" x14ac:dyDescent="0.35">
      <c r="A261" s="1">
        <v>1260</v>
      </c>
      <c r="B261" s="1" t="s">
        <v>207</v>
      </c>
      <c r="C261" s="1" t="s">
        <v>23</v>
      </c>
      <c r="D261" s="1" t="s">
        <v>29</v>
      </c>
      <c r="E261" s="1" t="s">
        <v>41</v>
      </c>
      <c r="F261" s="1">
        <v>38898</v>
      </c>
      <c r="G261" s="1">
        <v>8</v>
      </c>
      <c r="H261" s="1">
        <v>6438</v>
      </c>
      <c r="I261" s="1">
        <f>YEAR(Sales_Data[[#This Row],[Date]])</f>
        <v>2024</v>
      </c>
      <c r="J261" s="1" t="str">
        <f>TEXT(Sales_Data[[#This Row],[Date]],"mmmm")</f>
        <v>January</v>
      </c>
      <c r="K261" s="3">
        <f>Sales_Data[[#This Row],[Profit]]/Sales_Data[[#This Row],[Sales]]</f>
        <v>0.16550979484806416</v>
      </c>
      <c r="L261" s="1" t="str">
        <f>IF(Sales_Data[[#This Row],[Profit Margin
Profit/Sales]]&gt;0,"Profit","Loss")</f>
        <v>Profit</v>
      </c>
    </row>
    <row r="262" spans="1:12" x14ac:dyDescent="0.35">
      <c r="A262" s="1">
        <v>1261</v>
      </c>
      <c r="B262" s="1" t="s">
        <v>208</v>
      </c>
      <c r="C262" s="1" t="s">
        <v>20</v>
      </c>
      <c r="D262" s="1" t="s">
        <v>29</v>
      </c>
      <c r="E262" s="1" t="s">
        <v>41</v>
      </c>
      <c r="F262" s="1">
        <v>25749</v>
      </c>
      <c r="G262" s="1">
        <v>5</v>
      </c>
      <c r="H262" s="1">
        <v>947</v>
      </c>
      <c r="I262" s="1">
        <f>YEAR(Sales_Data[[#This Row],[Date]])</f>
        <v>2024</v>
      </c>
      <c r="J262" s="1" t="str">
        <f>TEXT(Sales_Data[[#This Row],[Date]],"mmmm")</f>
        <v>December</v>
      </c>
      <c r="K262" s="3">
        <f>Sales_Data[[#This Row],[Profit]]/Sales_Data[[#This Row],[Sales]]</f>
        <v>3.6778127305914794E-2</v>
      </c>
      <c r="L262" s="1" t="str">
        <f>IF(Sales_Data[[#This Row],[Profit Margin
Profit/Sales]]&gt;0,"Profit","Loss")</f>
        <v>Profit</v>
      </c>
    </row>
    <row r="263" spans="1:12" x14ac:dyDescent="0.35">
      <c r="A263" s="1">
        <v>1262</v>
      </c>
      <c r="B263" s="1" t="s">
        <v>209</v>
      </c>
      <c r="C263" s="1" t="s">
        <v>23</v>
      </c>
      <c r="D263" s="1" t="s">
        <v>15</v>
      </c>
      <c r="E263" s="1" t="s">
        <v>16</v>
      </c>
      <c r="F263" s="1">
        <v>41677</v>
      </c>
      <c r="G263" s="1">
        <v>8</v>
      </c>
      <c r="H263" s="1">
        <v>10635</v>
      </c>
      <c r="I263" s="1">
        <f>YEAR(Sales_Data[[#This Row],[Date]])</f>
        <v>2024</v>
      </c>
      <c r="J263" s="1" t="str">
        <f>TEXT(Sales_Data[[#This Row],[Date]],"mmmm")</f>
        <v>March</v>
      </c>
      <c r="K263" s="3">
        <f>Sales_Data[[#This Row],[Profit]]/Sales_Data[[#This Row],[Sales]]</f>
        <v>0.25517671617438875</v>
      </c>
      <c r="L263" s="1" t="str">
        <f>IF(Sales_Data[[#This Row],[Profit Margin
Profit/Sales]]&gt;0,"Profit","Loss")</f>
        <v>Profit</v>
      </c>
    </row>
    <row r="264" spans="1:12" x14ac:dyDescent="0.35">
      <c r="A264" s="1">
        <v>1263</v>
      </c>
      <c r="B264" s="1" t="s">
        <v>210</v>
      </c>
      <c r="C264" s="1" t="s">
        <v>20</v>
      </c>
      <c r="D264" s="1" t="s">
        <v>15</v>
      </c>
      <c r="E264" s="1" t="s">
        <v>18</v>
      </c>
      <c r="F264" s="1">
        <v>48144</v>
      </c>
      <c r="G264" s="1">
        <v>1</v>
      </c>
      <c r="H264" s="1">
        <v>1308</v>
      </c>
      <c r="I264" s="1">
        <f>YEAR(Sales_Data[[#This Row],[Date]])</f>
        <v>2024</v>
      </c>
      <c r="J264" s="1" t="str">
        <f>TEXT(Sales_Data[[#This Row],[Date]],"mmmm")</f>
        <v>November</v>
      </c>
      <c r="K264" s="3">
        <f>Sales_Data[[#This Row],[Profit]]/Sales_Data[[#This Row],[Sales]]</f>
        <v>2.7168494516450648E-2</v>
      </c>
      <c r="L264" s="1" t="str">
        <f>IF(Sales_Data[[#This Row],[Profit Margin
Profit/Sales]]&gt;0,"Profit","Loss")</f>
        <v>Profit</v>
      </c>
    </row>
    <row r="265" spans="1:12" x14ac:dyDescent="0.35">
      <c r="A265" s="1">
        <v>1264</v>
      </c>
      <c r="B265" s="1" t="s">
        <v>183</v>
      </c>
      <c r="C265" s="1" t="s">
        <v>27</v>
      </c>
      <c r="D265" s="1" t="s">
        <v>29</v>
      </c>
      <c r="E265" s="1" t="s">
        <v>49</v>
      </c>
      <c r="F265" s="1">
        <v>22141</v>
      </c>
      <c r="G265" s="1">
        <v>9</v>
      </c>
      <c r="H265" s="1">
        <v>6409</v>
      </c>
      <c r="I265" s="1">
        <f>YEAR(Sales_Data[[#This Row],[Date]])</f>
        <v>2024</v>
      </c>
      <c r="J265" s="1" t="str">
        <f>TEXT(Sales_Data[[#This Row],[Date]],"mmmm")</f>
        <v>November</v>
      </c>
      <c r="K265" s="3">
        <f>Sales_Data[[#This Row],[Profit]]/Sales_Data[[#This Row],[Sales]]</f>
        <v>0.28946298721828284</v>
      </c>
      <c r="L265" s="1" t="str">
        <f>IF(Sales_Data[[#This Row],[Profit Margin
Profit/Sales]]&gt;0,"Profit","Loss")</f>
        <v>Profit</v>
      </c>
    </row>
    <row r="266" spans="1:12" x14ac:dyDescent="0.35">
      <c r="A266" s="1">
        <v>1265</v>
      </c>
      <c r="B266" s="1" t="s">
        <v>157</v>
      </c>
      <c r="C266" s="1" t="s">
        <v>20</v>
      </c>
      <c r="D266" s="1" t="s">
        <v>29</v>
      </c>
      <c r="E266" s="1" t="s">
        <v>49</v>
      </c>
      <c r="F266" s="1">
        <v>20500</v>
      </c>
      <c r="G266" s="1">
        <v>5</v>
      </c>
      <c r="H266" s="1">
        <v>2543</v>
      </c>
      <c r="I266" s="1">
        <f>YEAR(Sales_Data[[#This Row],[Date]])</f>
        <v>2024</v>
      </c>
      <c r="J266" s="1" t="str">
        <f>TEXT(Sales_Data[[#This Row],[Date]],"mmmm")</f>
        <v>June</v>
      </c>
      <c r="K266" s="3">
        <f>Sales_Data[[#This Row],[Profit]]/Sales_Data[[#This Row],[Sales]]</f>
        <v>0.12404878048780488</v>
      </c>
      <c r="L266" s="1" t="str">
        <f>IF(Sales_Data[[#This Row],[Profit Margin
Profit/Sales]]&gt;0,"Profit","Loss")</f>
        <v>Profit</v>
      </c>
    </row>
    <row r="267" spans="1:12" x14ac:dyDescent="0.35">
      <c r="A267" s="1">
        <v>1266</v>
      </c>
      <c r="B267" s="1" t="s">
        <v>149</v>
      </c>
      <c r="C267" s="1" t="s">
        <v>23</v>
      </c>
      <c r="D267" s="1" t="s">
        <v>29</v>
      </c>
      <c r="E267" s="1" t="s">
        <v>30</v>
      </c>
      <c r="F267" s="1">
        <v>39096</v>
      </c>
      <c r="G267" s="1">
        <v>4</v>
      </c>
      <c r="H267" s="1">
        <v>11491</v>
      </c>
      <c r="I267" s="1">
        <f>YEAR(Sales_Data[[#This Row],[Date]])</f>
        <v>2024</v>
      </c>
      <c r="J267" s="1" t="str">
        <f>TEXT(Sales_Data[[#This Row],[Date]],"mmmm")</f>
        <v>December</v>
      </c>
      <c r="K267" s="3">
        <f>Sales_Data[[#This Row],[Profit]]/Sales_Data[[#This Row],[Sales]]</f>
        <v>0.29391753632085121</v>
      </c>
      <c r="L267" s="1" t="str">
        <f>IF(Sales_Data[[#This Row],[Profit Margin
Profit/Sales]]&gt;0,"Profit","Loss")</f>
        <v>Profit</v>
      </c>
    </row>
    <row r="268" spans="1:12" x14ac:dyDescent="0.35">
      <c r="A268" s="1">
        <v>1267</v>
      </c>
      <c r="B268" s="1" t="s">
        <v>211</v>
      </c>
      <c r="C268" s="1" t="s">
        <v>23</v>
      </c>
      <c r="D268" s="1" t="s">
        <v>10</v>
      </c>
      <c r="E268" s="1" t="s">
        <v>34</v>
      </c>
      <c r="F268" s="1">
        <v>39951</v>
      </c>
      <c r="G268" s="1">
        <v>3</v>
      </c>
      <c r="H268" s="1">
        <v>4306</v>
      </c>
      <c r="I268" s="1">
        <f>YEAR(Sales_Data[[#This Row],[Date]])</f>
        <v>2024</v>
      </c>
      <c r="J268" s="1" t="str">
        <f>TEXT(Sales_Data[[#This Row],[Date]],"mmmm")</f>
        <v>October</v>
      </c>
      <c r="K268" s="3">
        <f>Sales_Data[[#This Row],[Profit]]/Sales_Data[[#This Row],[Sales]]</f>
        <v>0.10778203299041325</v>
      </c>
      <c r="L268" s="1" t="str">
        <f>IF(Sales_Data[[#This Row],[Profit Margin
Profit/Sales]]&gt;0,"Profit","Loss")</f>
        <v>Profit</v>
      </c>
    </row>
    <row r="269" spans="1:12" x14ac:dyDescent="0.35">
      <c r="A269" s="1">
        <v>1268</v>
      </c>
      <c r="B269" s="1" t="s">
        <v>212</v>
      </c>
      <c r="C269" s="1" t="s">
        <v>20</v>
      </c>
      <c r="D269" s="1" t="s">
        <v>10</v>
      </c>
      <c r="E269" s="1" t="s">
        <v>13</v>
      </c>
      <c r="F269" s="1">
        <v>33536</v>
      </c>
      <c r="G269" s="1">
        <v>4</v>
      </c>
      <c r="H269" s="1">
        <v>5031</v>
      </c>
      <c r="I269" s="1">
        <f>YEAR(Sales_Data[[#This Row],[Date]])</f>
        <v>2024</v>
      </c>
      <c r="J269" s="1" t="str">
        <f>TEXT(Sales_Data[[#This Row],[Date]],"mmmm")</f>
        <v>September</v>
      </c>
      <c r="K269" s="3">
        <f>Sales_Data[[#This Row],[Profit]]/Sales_Data[[#This Row],[Sales]]</f>
        <v>0.15001789122137404</v>
      </c>
      <c r="L269" s="1" t="str">
        <f>IF(Sales_Data[[#This Row],[Profit Margin
Profit/Sales]]&gt;0,"Profit","Loss")</f>
        <v>Profit</v>
      </c>
    </row>
    <row r="270" spans="1:12" x14ac:dyDescent="0.35">
      <c r="A270" s="1">
        <v>1269</v>
      </c>
      <c r="B270" s="1" t="s">
        <v>213</v>
      </c>
      <c r="C270" s="1" t="s">
        <v>20</v>
      </c>
      <c r="D270" s="1" t="s">
        <v>15</v>
      </c>
      <c r="E270" s="1" t="s">
        <v>21</v>
      </c>
      <c r="F270" s="1">
        <v>28789</v>
      </c>
      <c r="G270" s="1">
        <v>6</v>
      </c>
      <c r="H270" s="1">
        <v>8612</v>
      </c>
      <c r="I270" s="1">
        <f>YEAR(Sales_Data[[#This Row],[Date]])</f>
        <v>2024</v>
      </c>
      <c r="J270" s="1" t="str">
        <f>TEXT(Sales_Data[[#This Row],[Date]],"mmmm")</f>
        <v>February</v>
      </c>
      <c r="K270" s="3">
        <f>Sales_Data[[#This Row],[Profit]]/Sales_Data[[#This Row],[Sales]]</f>
        <v>0.29914203341554063</v>
      </c>
      <c r="L270" s="1" t="str">
        <f>IF(Sales_Data[[#This Row],[Profit Margin
Profit/Sales]]&gt;0,"Profit","Loss")</f>
        <v>Profit</v>
      </c>
    </row>
    <row r="271" spans="1:12" x14ac:dyDescent="0.35">
      <c r="A271" s="1">
        <v>1270</v>
      </c>
      <c r="B271" s="1" t="s">
        <v>175</v>
      </c>
      <c r="C271" s="1" t="s">
        <v>23</v>
      </c>
      <c r="D271" s="1" t="s">
        <v>29</v>
      </c>
      <c r="E271" s="1" t="s">
        <v>49</v>
      </c>
      <c r="F271" s="1">
        <v>28774</v>
      </c>
      <c r="G271" s="1">
        <v>1</v>
      </c>
      <c r="H271" s="1">
        <v>5755</v>
      </c>
      <c r="I271" s="1">
        <f>YEAR(Sales_Data[[#This Row],[Date]])</f>
        <v>2024</v>
      </c>
      <c r="J271" s="1" t="str">
        <f>TEXT(Sales_Data[[#This Row],[Date]],"mmmm")</f>
        <v>September</v>
      </c>
      <c r="K271" s="3">
        <f>Sales_Data[[#This Row],[Profit]]/Sales_Data[[#This Row],[Sales]]</f>
        <v>0.20000695071939945</v>
      </c>
      <c r="L271" s="1" t="str">
        <f>IF(Sales_Data[[#This Row],[Profit Margin
Profit/Sales]]&gt;0,"Profit","Loss")</f>
        <v>Profit</v>
      </c>
    </row>
    <row r="272" spans="1:12" x14ac:dyDescent="0.35">
      <c r="A272" s="1">
        <v>1271</v>
      </c>
      <c r="B272" s="1" t="s">
        <v>132</v>
      </c>
      <c r="C272" s="1" t="s">
        <v>27</v>
      </c>
      <c r="D272" s="1" t="s">
        <v>29</v>
      </c>
      <c r="E272" s="1" t="s">
        <v>41</v>
      </c>
      <c r="F272" s="1">
        <v>4994</v>
      </c>
      <c r="G272" s="1">
        <v>1</v>
      </c>
      <c r="H272" s="1">
        <v>1415</v>
      </c>
      <c r="I272" s="1">
        <f>YEAR(Sales_Data[[#This Row],[Date]])</f>
        <v>2024</v>
      </c>
      <c r="J272" s="1" t="str">
        <f>TEXT(Sales_Data[[#This Row],[Date]],"mmmm")</f>
        <v>April</v>
      </c>
      <c r="K272" s="3">
        <f>Sales_Data[[#This Row],[Profit]]/Sales_Data[[#This Row],[Sales]]</f>
        <v>0.28334000800961151</v>
      </c>
      <c r="L272" s="1" t="str">
        <f>IF(Sales_Data[[#This Row],[Profit Margin
Profit/Sales]]&gt;0,"Profit","Loss")</f>
        <v>Profit</v>
      </c>
    </row>
    <row r="273" spans="1:12" x14ac:dyDescent="0.35">
      <c r="A273" s="1">
        <v>1272</v>
      </c>
      <c r="B273" s="1" t="s">
        <v>44</v>
      </c>
      <c r="C273" s="1" t="s">
        <v>20</v>
      </c>
      <c r="D273" s="1" t="s">
        <v>10</v>
      </c>
      <c r="E273" s="1" t="s">
        <v>11</v>
      </c>
      <c r="F273" s="1">
        <v>36413</v>
      </c>
      <c r="G273" s="1">
        <v>9</v>
      </c>
      <c r="H273" s="1">
        <v>6770</v>
      </c>
      <c r="I273" s="1">
        <f>YEAR(Sales_Data[[#This Row],[Date]])</f>
        <v>2024</v>
      </c>
      <c r="J273" s="1" t="str">
        <f>TEXT(Sales_Data[[#This Row],[Date]],"mmmm")</f>
        <v>May</v>
      </c>
      <c r="K273" s="3">
        <f>Sales_Data[[#This Row],[Profit]]/Sales_Data[[#This Row],[Sales]]</f>
        <v>0.18592261005684782</v>
      </c>
      <c r="L273" s="1" t="str">
        <f>IF(Sales_Data[[#This Row],[Profit Margin
Profit/Sales]]&gt;0,"Profit","Loss")</f>
        <v>Profit</v>
      </c>
    </row>
    <row r="274" spans="1:12" x14ac:dyDescent="0.35">
      <c r="A274" s="1">
        <v>1273</v>
      </c>
      <c r="B274" s="1" t="s">
        <v>130</v>
      </c>
      <c r="C274" s="1" t="s">
        <v>27</v>
      </c>
      <c r="D274" s="1" t="s">
        <v>29</v>
      </c>
      <c r="E274" s="1" t="s">
        <v>30</v>
      </c>
      <c r="F274" s="1">
        <v>54370</v>
      </c>
      <c r="G274" s="1">
        <v>6</v>
      </c>
      <c r="H274" s="1">
        <v>10682</v>
      </c>
      <c r="I274" s="1">
        <f>YEAR(Sales_Data[[#This Row],[Date]])</f>
        <v>2024</v>
      </c>
      <c r="J274" s="1" t="str">
        <f>TEXT(Sales_Data[[#This Row],[Date]],"mmmm")</f>
        <v>June</v>
      </c>
      <c r="K274" s="3">
        <f>Sales_Data[[#This Row],[Profit]]/Sales_Data[[#This Row],[Sales]]</f>
        <v>0.19646864079455581</v>
      </c>
      <c r="L274" s="1" t="str">
        <f>IF(Sales_Data[[#This Row],[Profit Margin
Profit/Sales]]&gt;0,"Profit","Loss")</f>
        <v>Profit</v>
      </c>
    </row>
    <row r="275" spans="1:12" x14ac:dyDescent="0.35">
      <c r="A275" s="1">
        <v>1274</v>
      </c>
      <c r="B275" s="1" t="s">
        <v>39</v>
      </c>
      <c r="C275" s="1" t="s">
        <v>23</v>
      </c>
      <c r="D275" s="1" t="s">
        <v>29</v>
      </c>
      <c r="E275" s="1" t="s">
        <v>30</v>
      </c>
      <c r="F275" s="1">
        <v>38035</v>
      </c>
      <c r="G275" s="1">
        <v>10</v>
      </c>
      <c r="H275" s="1">
        <v>1934</v>
      </c>
      <c r="I275" s="1">
        <f>YEAR(Sales_Data[[#This Row],[Date]])</f>
        <v>2024</v>
      </c>
      <c r="J275" s="1" t="str">
        <f>TEXT(Sales_Data[[#This Row],[Date]],"mmmm")</f>
        <v>June</v>
      </c>
      <c r="K275" s="3">
        <f>Sales_Data[[#This Row],[Profit]]/Sales_Data[[#This Row],[Sales]]</f>
        <v>5.0847903247009336E-2</v>
      </c>
      <c r="L275" s="1" t="str">
        <f>IF(Sales_Data[[#This Row],[Profit Margin
Profit/Sales]]&gt;0,"Profit","Loss")</f>
        <v>Profit</v>
      </c>
    </row>
    <row r="276" spans="1:12" x14ac:dyDescent="0.35">
      <c r="A276" s="1">
        <v>1275</v>
      </c>
      <c r="B276" s="1" t="s">
        <v>214</v>
      </c>
      <c r="C276" s="1" t="s">
        <v>27</v>
      </c>
      <c r="D276" s="1" t="s">
        <v>10</v>
      </c>
      <c r="E276" s="1" t="s">
        <v>34</v>
      </c>
      <c r="F276" s="1">
        <v>44332</v>
      </c>
      <c r="G276" s="1">
        <v>9</v>
      </c>
      <c r="H276" s="1">
        <v>3699</v>
      </c>
      <c r="I276" s="1">
        <f>YEAR(Sales_Data[[#This Row],[Date]])</f>
        <v>2024</v>
      </c>
      <c r="J276" s="1" t="str">
        <f>TEXT(Sales_Data[[#This Row],[Date]],"mmmm")</f>
        <v>December</v>
      </c>
      <c r="K276" s="3">
        <f>Sales_Data[[#This Row],[Profit]]/Sales_Data[[#This Row],[Sales]]</f>
        <v>8.3438599657132545E-2</v>
      </c>
      <c r="L276" s="1" t="str">
        <f>IF(Sales_Data[[#This Row],[Profit Margin
Profit/Sales]]&gt;0,"Profit","Loss")</f>
        <v>Profit</v>
      </c>
    </row>
    <row r="277" spans="1:12" x14ac:dyDescent="0.35">
      <c r="A277" s="1">
        <v>1276</v>
      </c>
      <c r="B277" s="1" t="s">
        <v>215</v>
      </c>
      <c r="C277" s="1" t="s">
        <v>9</v>
      </c>
      <c r="D277" s="1" t="s">
        <v>10</v>
      </c>
      <c r="E277" s="1" t="s">
        <v>34</v>
      </c>
      <c r="F277" s="1">
        <v>14816</v>
      </c>
      <c r="G277" s="1">
        <v>8</v>
      </c>
      <c r="H277" s="1">
        <v>1715</v>
      </c>
      <c r="I277" s="1">
        <f>YEAR(Sales_Data[[#This Row],[Date]])</f>
        <v>2024</v>
      </c>
      <c r="J277" s="1" t="str">
        <f>TEXT(Sales_Data[[#This Row],[Date]],"mmmm")</f>
        <v>July</v>
      </c>
      <c r="K277" s="3">
        <f>Sales_Data[[#This Row],[Profit]]/Sales_Data[[#This Row],[Sales]]</f>
        <v>0.11575323974082073</v>
      </c>
      <c r="L277" s="1" t="str">
        <f>IF(Sales_Data[[#This Row],[Profit Margin
Profit/Sales]]&gt;0,"Profit","Loss")</f>
        <v>Profit</v>
      </c>
    </row>
    <row r="278" spans="1:12" x14ac:dyDescent="0.35">
      <c r="A278" s="1">
        <v>1277</v>
      </c>
      <c r="B278" s="1" t="s">
        <v>107</v>
      </c>
      <c r="C278" s="1" t="s">
        <v>9</v>
      </c>
      <c r="D278" s="1" t="s">
        <v>10</v>
      </c>
      <c r="E278" s="1" t="s">
        <v>34</v>
      </c>
      <c r="F278" s="1">
        <v>29048</v>
      </c>
      <c r="G278" s="1">
        <v>6</v>
      </c>
      <c r="H278" s="1">
        <v>6743</v>
      </c>
      <c r="I278" s="1">
        <f>YEAR(Sales_Data[[#This Row],[Date]])</f>
        <v>2024</v>
      </c>
      <c r="J278" s="1" t="str">
        <f>TEXT(Sales_Data[[#This Row],[Date]],"mmmm")</f>
        <v>April</v>
      </c>
      <c r="K278" s="3">
        <f>Sales_Data[[#This Row],[Profit]]/Sales_Data[[#This Row],[Sales]]</f>
        <v>0.23213302120627927</v>
      </c>
      <c r="L278" s="1" t="str">
        <f>IF(Sales_Data[[#This Row],[Profit Margin
Profit/Sales]]&gt;0,"Profit","Loss")</f>
        <v>Profit</v>
      </c>
    </row>
    <row r="279" spans="1:12" x14ac:dyDescent="0.35">
      <c r="A279" s="1">
        <v>1278</v>
      </c>
      <c r="B279" s="1" t="s">
        <v>216</v>
      </c>
      <c r="C279" s="1" t="s">
        <v>20</v>
      </c>
      <c r="D279" s="1" t="s">
        <v>29</v>
      </c>
      <c r="E279" s="1" t="s">
        <v>30</v>
      </c>
      <c r="F279" s="1">
        <v>31134</v>
      </c>
      <c r="G279" s="1">
        <v>9</v>
      </c>
      <c r="H279" s="1">
        <v>9098</v>
      </c>
      <c r="I279" s="1">
        <f>YEAR(Sales_Data[[#This Row],[Date]])</f>
        <v>2024</v>
      </c>
      <c r="J279" s="1" t="str">
        <f>TEXT(Sales_Data[[#This Row],[Date]],"mmmm")</f>
        <v>September</v>
      </c>
      <c r="K279" s="3">
        <f>Sales_Data[[#This Row],[Profit]]/Sales_Data[[#This Row],[Sales]]</f>
        <v>0.29222072332498233</v>
      </c>
      <c r="L279" s="1" t="str">
        <f>IF(Sales_Data[[#This Row],[Profit Margin
Profit/Sales]]&gt;0,"Profit","Loss")</f>
        <v>Profit</v>
      </c>
    </row>
    <row r="280" spans="1:12" x14ac:dyDescent="0.35">
      <c r="A280" s="1">
        <v>1279</v>
      </c>
      <c r="B280" s="1" t="s">
        <v>217</v>
      </c>
      <c r="C280" s="1" t="s">
        <v>23</v>
      </c>
      <c r="D280" s="1" t="s">
        <v>29</v>
      </c>
      <c r="E280" s="1" t="s">
        <v>49</v>
      </c>
      <c r="F280" s="1">
        <v>36558</v>
      </c>
      <c r="G280" s="1">
        <v>9</v>
      </c>
      <c r="H280" s="1">
        <v>9986</v>
      </c>
      <c r="I280" s="1">
        <f>YEAR(Sales_Data[[#This Row],[Date]])</f>
        <v>2024</v>
      </c>
      <c r="J280" s="1" t="str">
        <f>TEXT(Sales_Data[[#This Row],[Date]],"mmmm")</f>
        <v>August</v>
      </c>
      <c r="K280" s="3">
        <f>Sales_Data[[#This Row],[Profit]]/Sales_Data[[#This Row],[Sales]]</f>
        <v>0.27315498659664095</v>
      </c>
      <c r="L280" s="1" t="str">
        <f>IF(Sales_Data[[#This Row],[Profit Margin
Profit/Sales]]&gt;0,"Profit","Loss")</f>
        <v>Profit</v>
      </c>
    </row>
    <row r="281" spans="1:12" x14ac:dyDescent="0.35">
      <c r="A281" s="1">
        <v>1280</v>
      </c>
      <c r="B281" s="1" t="s">
        <v>43</v>
      </c>
      <c r="C281" s="1" t="s">
        <v>23</v>
      </c>
      <c r="D281" s="1" t="s">
        <v>15</v>
      </c>
      <c r="E281" s="1" t="s">
        <v>18</v>
      </c>
      <c r="F281" s="1">
        <v>38009</v>
      </c>
      <c r="G281" s="1">
        <v>2</v>
      </c>
      <c r="H281" s="1">
        <v>8476</v>
      </c>
      <c r="I281" s="1">
        <f>YEAR(Sales_Data[[#This Row],[Date]])</f>
        <v>2024</v>
      </c>
      <c r="J281" s="1" t="str">
        <f>TEXT(Sales_Data[[#This Row],[Date]],"mmmm")</f>
        <v>April</v>
      </c>
      <c r="K281" s="3">
        <f>Sales_Data[[#This Row],[Profit]]/Sales_Data[[#This Row],[Sales]]</f>
        <v>0.22299981583309217</v>
      </c>
      <c r="L281" s="1" t="str">
        <f>IF(Sales_Data[[#This Row],[Profit Margin
Profit/Sales]]&gt;0,"Profit","Loss")</f>
        <v>Profit</v>
      </c>
    </row>
    <row r="282" spans="1:12" x14ac:dyDescent="0.35">
      <c r="A282" s="1">
        <v>1281</v>
      </c>
      <c r="B282" s="1" t="s">
        <v>108</v>
      </c>
      <c r="C282" s="1" t="s">
        <v>27</v>
      </c>
      <c r="D282" s="1" t="s">
        <v>15</v>
      </c>
      <c r="E282" s="1" t="s">
        <v>18</v>
      </c>
      <c r="F282" s="1">
        <v>50068</v>
      </c>
      <c r="G282" s="1">
        <v>2</v>
      </c>
      <c r="H282" s="1">
        <v>7550</v>
      </c>
      <c r="I282" s="1">
        <f>YEAR(Sales_Data[[#This Row],[Date]])</f>
        <v>2024</v>
      </c>
      <c r="J282" s="1" t="str">
        <f>TEXT(Sales_Data[[#This Row],[Date]],"mmmm")</f>
        <v>April</v>
      </c>
      <c r="K282" s="3">
        <f>Sales_Data[[#This Row],[Profit]]/Sales_Data[[#This Row],[Sales]]</f>
        <v>0.15079491891028202</v>
      </c>
      <c r="L282" s="1" t="str">
        <f>IF(Sales_Data[[#This Row],[Profit Margin
Profit/Sales]]&gt;0,"Profit","Loss")</f>
        <v>Profit</v>
      </c>
    </row>
    <row r="283" spans="1:12" x14ac:dyDescent="0.35">
      <c r="A283" s="1">
        <v>1282</v>
      </c>
      <c r="B283" s="1" t="s">
        <v>52</v>
      </c>
      <c r="C283" s="1" t="s">
        <v>20</v>
      </c>
      <c r="D283" s="1" t="s">
        <v>15</v>
      </c>
      <c r="E283" s="1" t="s">
        <v>16</v>
      </c>
      <c r="F283" s="1">
        <v>32887</v>
      </c>
      <c r="G283" s="1">
        <v>5</v>
      </c>
      <c r="H283" s="1">
        <v>9132</v>
      </c>
      <c r="I283" s="1">
        <f>YEAR(Sales_Data[[#This Row],[Date]])</f>
        <v>2024</v>
      </c>
      <c r="J283" s="1" t="str">
        <f>TEXT(Sales_Data[[#This Row],[Date]],"mmmm")</f>
        <v>July</v>
      </c>
      <c r="K283" s="3">
        <f>Sales_Data[[#This Row],[Profit]]/Sales_Data[[#This Row],[Sales]]</f>
        <v>0.27767810989144648</v>
      </c>
      <c r="L283" s="1" t="str">
        <f>IF(Sales_Data[[#This Row],[Profit Margin
Profit/Sales]]&gt;0,"Profit","Loss")</f>
        <v>Profit</v>
      </c>
    </row>
    <row r="284" spans="1:12" x14ac:dyDescent="0.35">
      <c r="A284" s="1">
        <v>1283</v>
      </c>
      <c r="B284" s="1" t="s">
        <v>218</v>
      </c>
      <c r="C284" s="1" t="s">
        <v>27</v>
      </c>
      <c r="D284" s="1" t="s">
        <v>29</v>
      </c>
      <c r="E284" s="1" t="s">
        <v>41</v>
      </c>
      <c r="F284" s="1">
        <v>17799</v>
      </c>
      <c r="G284" s="1">
        <v>1</v>
      </c>
      <c r="H284" s="1">
        <v>2788</v>
      </c>
      <c r="I284" s="1">
        <f>YEAR(Sales_Data[[#This Row],[Date]])</f>
        <v>2024</v>
      </c>
      <c r="J284" s="1" t="str">
        <f>TEXT(Sales_Data[[#This Row],[Date]],"mmmm")</f>
        <v>February</v>
      </c>
      <c r="K284" s="3">
        <f>Sales_Data[[#This Row],[Profit]]/Sales_Data[[#This Row],[Sales]]</f>
        <v>0.15663801337153774</v>
      </c>
      <c r="L284" s="1" t="str">
        <f>IF(Sales_Data[[#This Row],[Profit Margin
Profit/Sales]]&gt;0,"Profit","Loss")</f>
        <v>Profit</v>
      </c>
    </row>
    <row r="285" spans="1:12" x14ac:dyDescent="0.35">
      <c r="A285" s="1">
        <v>1284</v>
      </c>
      <c r="B285" s="1" t="s">
        <v>131</v>
      </c>
      <c r="C285" s="1" t="s">
        <v>20</v>
      </c>
      <c r="D285" s="1" t="s">
        <v>29</v>
      </c>
      <c r="E285" s="1" t="s">
        <v>49</v>
      </c>
      <c r="F285" s="1">
        <v>55274</v>
      </c>
      <c r="G285" s="1">
        <v>10</v>
      </c>
      <c r="H285" s="1">
        <v>10156</v>
      </c>
      <c r="I285" s="1">
        <f>YEAR(Sales_Data[[#This Row],[Date]])</f>
        <v>2024</v>
      </c>
      <c r="J285" s="1" t="str">
        <f>TEXT(Sales_Data[[#This Row],[Date]],"mmmm")</f>
        <v>January</v>
      </c>
      <c r="K285" s="3">
        <f>Sales_Data[[#This Row],[Profit]]/Sales_Data[[#This Row],[Sales]]</f>
        <v>0.18373919021601476</v>
      </c>
      <c r="L285" s="1" t="str">
        <f>IF(Sales_Data[[#This Row],[Profit Margin
Profit/Sales]]&gt;0,"Profit","Loss")</f>
        <v>Profit</v>
      </c>
    </row>
    <row r="286" spans="1:12" x14ac:dyDescent="0.35">
      <c r="A286" s="1">
        <v>1285</v>
      </c>
      <c r="B286" s="1" t="s">
        <v>46</v>
      </c>
      <c r="C286" s="1" t="s">
        <v>27</v>
      </c>
      <c r="D286" s="1" t="s">
        <v>10</v>
      </c>
      <c r="E286" s="1" t="s">
        <v>13</v>
      </c>
      <c r="F286" s="1">
        <v>27182</v>
      </c>
      <c r="G286" s="1">
        <v>1</v>
      </c>
      <c r="H286" s="1">
        <v>6092</v>
      </c>
      <c r="I286" s="1">
        <f>YEAR(Sales_Data[[#This Row],[Date]])</f>
        <v>2024</v>
      </c>
      <c r="J286" s="1" t="str">
        <f>TEXT(Sales_Data[[#This Row],[Date]],"mmmm")</f>
        <v>January</v>
      </c>
      <c r="K286" s="3">
        <f>Sales_Data[[#This Row],[Profit]]/Sales_Data[[#This Row],[Sales]]</f>
        <v>0.2241189022147009</v>
      </c>
      <c r="L286" s="1" t="str">
        <f>IF(Sales_Data[[#This Row],[Profit Margin
Profit/Sales]]&gt;0,"Profit","Loss")</f>
        <v>Profit</v>
      </c>
    </row>
    <row r="287" spans="1:12" x14ac:dyDescent="0.35">
      <c r="A287" s="1">
        <v>1286</v>
      </c>
      <c r="B287" s="1" t="s">
        <v>46</v>
      </c>
      <c r="C287" s="1" t="s">
        <v>9</v>
      </c>
      <c r="D287" s="1" t="s">
        <v>10</v>
      </c>
      <c r="E287" s="1" t="s">
        <v>13</v>
      </c>
      <c r="F287" s="1">
        <v>15775</v>
      </c>
      <c r="G287" s="1">
        <v>2</v>
      </c>
      <c r="H287" s="1">
        <v>1227</v>
      </c>
      <c r="I287" s="1">
        <f>YEAR(Sales_Data[[#This Row],[Date]])</f>
        <v>2024</v>
      </c>
      <c r="J287" s="1" t="str">
        <f>TEXT(Sales_Data[[#This Row],[Date]],"mmmm")</f>
        <v>January</v>
      </c>
      <c r="K287" s="3">
        <f>Sales_Data[[#This Row],[Profit]]/Sales_Data[[#This Row],[Sales]]</f>
        <v>7.7781299524564182E-2</v>
      </c>
      <c r="L287" s="1" t="str">
        <f>IF(Sales_Data[[#This Row],[Profit Margin
Profit/Sales]]&gt;0,"Profit","Loss")</f>
        <v>Profit</v>
      </c>
    </row>
    <row r="288" spans="1:12" x14ac:dyDescent="0.35">
      <c r="A288" s="1">
        <v>1287</v>
      </c>
      <c r="B288" s="1" t="s">
        <v>219</v>
      </c>
      <c r="C288" s="1" t="s">
        <v>9</v>
      </c>
      <c r="D288" s="1" t="s">
        <v>10</v>
      </c>
      <c r="E288" s="1" t="s">
        <v>34</v>
      </c>
      <c r="F288" s="1">
        <v>13243</v>
      </c>
      <c r="G288" s="1">
        <v>6</v>
      </c>
      <c r="H288" s="1">
        <v>1926</v>
      </c>
      <c r="I288" s="1">
        <f>YEAR(Sales_Data[[#This Row],[Date]])</f>
        <v>2024</v>
      </c>
      <c r="J288" s="1" t="str">
        <f>TEXT(Sales_Data[[#This Row],[Date]],"mmmm")</f>
        <v>March</v>
      </c>
      <c r="K288" s="3">
        <f>Sales_Data[[#This Row],[Profit]]/Sales_Data[[#This Row],[Sales]]</f>
        <v>0.14543532432228348</v>
      </c>
      <c r="L288" s="1" t="str">
        <f>IF(Sales_Data[[#This Row],[Profit Margin
Profit/Sales]]&gt;0,"Profit","Loss")</f>
        <v>Profit</v>
      </c>
    </row>
    <row r="289" spans="1:12" x14ac:dyDescent="0.35">
      <c r="A289" s="1">
        <v>1288</v>
      </c>
      <c r="B289" s="1" t="s">
        <v>63</v>
      </c>
      <c r="C289" s="1" t="s">
        <v>9</v>
      </c>
      <c r="D289" s="1" t="s">
        <v>15</v>
      </c>
      <c r="E289" s="1" t="s">
        <v>16</v>
      </c>
      <c r="F289" s="1">
        <v>4489</v>
      </c>
      <c r="G289" s="1">
        <v>4</v>
      </c>
      <c r="H289" s="1">
        <v>1224</v>
      </c>
      <c r="I289" s="1">
        <f>YEAR(Sales_Data[[#This Row],[Date]])</f>
        <v>2024</v>
      </c>
      <c r="J289" s="1" t="str">
        <f>TEXT(Sales_Data[[#This Row],[Date]],"mmmm")</f>
        <v>December</v>
      </c>
      <c r="K289" s="3">
        <f>Sales_Data[[#This Row],[Profit]]/Sales_Data[[#This Row],[Sales]]</f>
        <v>0.2726665181554912</v>
      </c>
      <c r="L289" s="1" t="str">
        <f>IF(Sales_Data[[#This Row],[Profit Margin
Profit/Sales]]&gt;0,"Profit","Loss")</f>
        <v>Profit</v>
      </c>
    </row>
    <row r="290" spans="1:12" x14ac:dyDescent="0.35">
      <c r="A290" s="1">
        <v>1289</v>
      </c>
      <c r="B290" s="1" t="s">
        <v>220</v>
      </c>
      <c r="C290" s="1" t="s">
        <v>27</v>
      </c>
      <c r="D290" s="1" t="s">
        <v>29</v>
      </c>
      <c r="E290" s="1" t="s">
        <v>41</v>
      </c>
      <c r="F290" s="1">
        <v>54722</v>
      </c>
      <c r="G290" s="1">
        <v>5</v>
      </c>
      <c r="H290" s="1">
        <v>3219</v>
      </c>
      <c r="I290" s="1">
        <f>YEAR(Sales_Data[[#This Row],[Date]])</f>
        <v>2024</v>
      </c>
      <c r="J290" s="1" t="str">
        <f>TEXT(Sales_Data[[#This Row],[Date]],"mmmm")</f>
        <v>December</v>
      </c>
      <c r="K290" s="3">
        <f>Sales_Data[[#This Row],[Profit]]/Sales_Data[[#This Row],[Sales]]</f>
        <v>5.8824604363875592E-2</v>
      </c>
      <c r="L290" s="1" t="str">
        <f>IF(Sales_Data[[#This Row],[Profit Margin
Profit/Sales]]&gt;0,"Profit","Loss")</f>
        <v>Profit</v>
      </c>
    </row>
    <row r="291" spans="1:12" x14ac:dyDescent="0.35">
      <c r="A291" s="1">
        <v>1290</v>
      </c>
      <c r="B291" s="1" t="s">
        <v>12</v>
      </c>
      <c r="C291" s="1" t="s">
        <v>9</v>
      </c>
      <c r="D291" s="1" t="s">
        <v>10</v>
      </c>
      <c r="E291" s="1" t="s">
        <v>11</v>
      </c>
      <c r="F291" s="1">
        <v>29921</v>
      </c>
      <c r="G291" s="1">
        <v>9</v>
      </c>
      <c r="H291" s="1">
        <v>7194</v>
      </c>
      <c r="I291" s="1">
        <f>YEAR(Sales_Data[[#This Row],[Date]])</f>
        <v>2024</v>
      </c>
      <c r="J291" s="1" t="str">
        <f>TEXT(Sales_Data[[#This Row],[Date]],"mmmm")</f>
        <v>January</v>
      </c>
      <c r="K291" s="3">
        <f>Sales_Data[[#This Row],[Profit]]/Sales_Data[[#This Row],[Sales]]</f>
        <v>0.24043314060358945</v>
      </c>
      <c r="L291" s="1" t="str">
        <f>IF(Sales_Data[[#This Row],[Profit Margin
Profit/Sales]]&gt;0,"Profit","Loss")</f>
        <v>Profit</v>
      </c>
    </row>
    <row r="292" spans="1:12" x14ac:dyDescent="0.35">
      <c r="A292" s="1">
        <v>1291</v>
      </c>
      <c r="B292" s="1" t="s">
        <v>221</v>
      </c>
      <c r="C292" s="1" t="s">
        <v>20</v>
      </c>
      <c r="D292" s="1" t="s">
        <v>29</v>
      </c>
      <c r="E292" s="1" t="s">
        <v>30</v>
      </c>
      <c r="F292" s="1">
        <v>49321</v>
      </c>
      <c r="G292" s="1">
        <v>8</v>
      </c>
      <c r="H292" s="1">
        <v>8797</v>
      </c>
      <c r="I292" s="1">
        <f>YEAR(Sales_Data[[#This Row],[Date]])</f>
        <v>2024</v>
      </c>
      <c r="J292" s="1" t="str">
        <f>TEXT(Sales_Data[[#This Row],[Date]],"mmmm")</f>
        <v>July</v>
      </c>
      <c r="K292" s="3">
        <f>Sales_Data[[#This Row],[Profit]]/Sales_Data[[#This Row],[Sales]]</f>
        <v>0.17836215810709435</v>
      </c>
      <c r="L292" s="1" t="str">
        <f>IF(Sales_Data[[#This Row],[Profit Margin
Profit/Sales]]&gt;0,"Profit","Loss")</f>
        <v>Profit</v>
      </c>
    </row>
    <row r="293" spans="1:12" x14ac:dyDescent="0.35">
      <c r="A293" s="1">
        <v>1292</v>
      </c>
      <c r="B293" s="1" t="s">
        <v>77</v>
      </c>
      <c r="C293" s="1" t="s">
        <v>20</v>
      </c>
      <c r="D293" s="1" t="s">
        <v>29</v>
      </c>
      <c r="E293" s="1" t="s">
        <v>30</v>
      </c>
      <c r="F293" s="1">
        <v>50371</v>
      </c>
      <c r="G293" s="1">
        <v>3</v>
      </c>
      <c r="H293" s="1">
        <v>2301</v>
      </c>
      <c r="I293" s="1">
        <f>YEAR(Sales_Data[[#This Row],[Date]])</f>
        <v>2024</v>
      </c>
      <c r="J293" s="1" t="str">
        <f>TEXT(Sales_Data[[#This Row],[Date]],"mmmm")</f>
        <v>February</v>
      </c>
      <c r="K293" s="3">
        <f>Sales_Data[[#This Row],[Profit]]/Sales_Data[[#This Row],[Sales]]</f>
        <v>4.5681046633975896E-2</v>
      </c>
      <c r="L293" s="1" t="str">
        <f>IF(Sales_Data[[#This Row],[Profit Margin
Profit/Sales]]&gt;0,"Profit","Loss")</f>
        <v>Profit</v>
      </c>
    </row>
    <row r="294" spans="1:12" x14ac:dyDescent="0.35">
      <c r="A294" s="1">
        <v>1293</v>
      </c>
      <c r="B294" s="1" t="s">
        <v>84</v>
      </c>
      <c r="C294" s="1" t="s">
        <v>23</v>
      </c>
      <c r="D294" s="1" t="s">
        <v>29</v>
      </c>
      <c r="E294" s="1" t="s">
        <v>41</v>
      </c>
      <c r="F294" s="1">
        <v>38185</v>
      </c>
      <c r="G294" s="1">
        <v>7</v>
      </c>
      <c r="H294" s="1">
        <v>11397</v>
      </c>
      <c r="I294" s="1">
        <f>YEAR(Sales_Data[[#This Row],[Date]])</f>
        <v>2024</v>
      </c>
      <c r="J294" s="1" t="str">
        <f>TEXT(Sales_Data[[#This Row],[Date]],"mmmm")</f>
        <v>July</v>
      </c>
      <c r="K294" s="3">
        <f>Sales_Data[[#This Row],[Profit]]/Sales_Data[[#This Row],[Sales]]</f>
        <v>0.29846798481078957</v>
      </c>
      <c r="L294" s="1" t="str">
        <f>IF(Sales_Data[[#This Row],[Profit Margin
Profit/Sales]]&gt;0,"Profit","Loss")</f>
        <v>Profit</v>
      </c>
    </row>
    <row r="295" spans="1:12" x14ac:dyDescent="0.35">
      <c r="A295" s="1">
        <v>1294</v>
      </c>
      <c r="B295" s="1" t="s">
        <v>222</v>
      </c>
      <c r="C295" s="1" t="s">
        <v>9</v>
      </c>
      <c r="D295" s="1" t="s">
        <v>10</v>
      </c>
      <c r="E295" s="1" t="s">
        <v>11</v>
      </c>
      <c r="F295" s="1">
        <v>17528</v>
      </c>
      <c r="G295" s="1">
        <v>1</v>
      </c>
      <c r="H295" s="1">
        <v>4737</v>
      </c>
      <c r="I295" s="1">
        <f>YEAR(Sales_Data[[#This Row],[Date]])</f>
        <v>2024</v>
      </c>
      <c r="J295" s="1" t="str">
        <f>TEXT(Sales_Data[[#This Row],[Date]],"mmmm")</f>
        <v>May</v>
      </c>
      <c r="K295" s="3">
        <f>Sales_Data[[#This Row],[Profit]]/Sales_Data[[#This Row],[Sales]]</f>
        <v>0.27025330899132816</v>
      </c>
      <c r="L295" s="1" t="str">
        <f>IF(Sales_Data[[#This Row],[Profit Margin
Profit/Sales]]&gt;0,"Profit","Loss")</f>
        <v>Profit</v>
      </c>
    </row>
    <row r="296" spans="1:12" x14ac:dyDescent="0.35">
      <c r="A296" s="1">
        <v>1295</v>
      </c>
      <c r="B296" s="1" t="s">
        <v>212</v>
      </c>
      <c r="C296" s="1" t="s">
        <v>20</v>
      </c>
      <c r="D296" s="1" t="s">
        <v>15</v>
      </c>
      <c r="E296" s="1" t="s">
        <v>18</v>
      </c>
      <c r="F296" s="1">
        <v>2518</v>
      </c>
      <c r="G296" s="1">
        <v>10</v>
      </c>
      <c r="H296" s="1">
        <v>472</v>
      </c>
      <c r="I296" s="1">
        <f>YEAR(Sales_Data[[#This Row],[Date]])</f>
        <v>2024</v>
      </c>
      <c r="J296" s="1" t="str">
        <f>TEXT(Sales_Data[[#This Row],[Date]],"mmmm")</f>
        <v>September</v>
      </c>
      <c r="K296" s="3">
        <f>Sales_Data[[#This Row],[Profit]]/Sales_Data[[#This Row],[Sales]]</f>
        <v>0.18745035742652899</v>
      </c>
      <c r="L296" s="1" t="str">
        <f>IF(Sales_Data[[#This Row],[Profit Margin
Profit/Sales]]&gt;0,"Profit","Loss")</f>
        <v>Profit</v>
      </c>
    </row>
    <row r="297" spans="1:12" x14ac:dyDescent="0.35">
      <c r="A297" s="1">
        <v>1296</v>
      </c>
      <c r="B297" s="1" t="s">
        <v>223</v>
      </c>
      <c r="C297" s="1" t="s">
        <v>23</v>
      </c>
      <c r="D297" s="1" t="s">
        <v>10</v>
      </c>
      <c r="E297" s="1" t="s">
        <v>11</v>
      </c>
      <c r="F297" s="1">
        <v>22128</v>
      </c>
      <c r="G297" s="1">
        <v>8</v>
      </c>
      <c r="H297" s="1">
        <v>2286</v>
      </c>
      <c r="I297" s="1">
        <f>YEAR(Sales_Data[[#This Row],[Date]])</f>
        <v>2024</v>
      </c>
      <c r="J297" s="1" t="str">
        <f>TEXT(Sales_Data[[#This Row],[Date]],"mmmm")</f>
        <v>October</v>
      </c>
      <c r="K297" s="3">
        <f>Sales_Data[[#This Row],[Profit]]/Sales_Data[[#This Row],[Sales]]</f>
        <v>0.10330802603036876</v>
      </c>
      <c r="L297" s="1" t="str">
        <f>IF(Sales_Data[[#This Row],[Profit Margin
Profit/Sales]]&gt;0,"Profit","Loss")</f>
        <v>Profit</v>
      </c>
    </row>
    <row r="298" spans="1:12" x14ac:dyDescent="0.35">
      <c r="A298" s="1">
        <v>1297</v>
      </c>
      <c r="B298" s="1" t="s">
        <v>224</v>
      </c>
      <c r="C298" s="1" t="s">
        <v>27</v>
      </c>
      <c r="D298" s="1" t="s">
        <v>10</v>
      </c>
      <c r="E298" s="1" t="s">
        <v>11</v>
      </c>
      <c r="F298" s="1">
        <v>35469</v>
      </c>
      <c r="G298" s="1">
        <v>10</v>
      </c>
      <c r="H298" s="1">
        <v>750</v>
      </c>
      <c r="I298" s="1">
        <f>YEAR(Sales_Data[[#This Row],[Date]])</f>
        <v>2024</v>
      </c>
      <c r="J298" s="1" t="str">
        <f>TEXT(Sales_Data[[#This Row],[Date]],"mmmm")</f>
        <v>May</v>
      </c>
      <c r="K298" s="3">
        <f>Sales_Data[[#This Row],[Profit]]/Sales_Data[[#This Row],[Sales]]</f>
        <v>2.114522540810285E-2</v>
      </c>
      <c r="L298" s="1" t="str">
        <f>IF(Sales_Data[[#This Row],[Profit Margin
Profit/Sales]]&gt;0,"Profit","Loss")</f>
        <v>Profit</v>
      </c>
    </row>
    <row r="299" spans="1:12" x14ac:dyDescent="0.35">
      <c r="A299" s="1">
        <v>1298</v>
      </c>
      <c r="B299" s="1" t="s">
        <v>126</v>
      </c>
      <c r="C299" s="1" t="s">
        <v>27</v>
      </c>
      <c r="D299" s="1" t="s">
        <v>10</v>
      </c>
      <c r="E299" s="1" t="s">
        <v>34</v>
      </c>
      <c r="F299" s="1">
        <v>27310</v>
      </c>
      <c r="G299" s="1">
        <v>10</v>
      </c>
      <c r="H299" s="1">
        <v>5525</v>
      </c>
      <c r="I299" s="1">
        <f>YEAR(Sales_Data[[#This Row],[Date]])</f>
        <v>2024</v>
      </c>
      <c r="J299" s="1" t="str">
        <f>TEXT(Sales_Data[[#This Row],[Date]],"mmmm")</f>
        <v>July</v>
      </c>
      <c r="K299" s="3">
        <f>Sales_Data[[#This Row],[Profit]]/Sales_Data[[#This Row],[Sales]]</f>
        <v>0.20230684730867815</v>
      </c>
      <c r="L299" s="1" t="str">
        <f>IF(Sales_Data[[#This Row],[Profit Margin
Profit/Sales]]&gt;0,"Profit","Loss")</f>
        <v>Profit</v>
      </c>
    </row>
    <row r="300" spans="1:12" x14ac:dyDescent="0.35">
      <c r="A300" s="1">
        <v>1299</v>
      </c>
      <c r="B300" s="1" t="s">
        <v>152</v>
      </c>
      <c r="C300" s="1" t="s">
        <v>20</v>
      </c>
      <c r="D300" s="1" t="s">
        <v>10</v>
      </c>
      <c r="E300" s="1" t="s">
        <v>34</v>
      </c>
      <c r="F300" s="1">
        <v>15124</v>
      </c>
      <c r="G300" s="1">
        <v>3</v>
      </c>
      <c r="H300" s="1">
        <v>4227</v>
      </c>
      <c r="I300" s="1">
        <f>YEAR(Sales_Data[[#This Row],[Date]])</f>
        <v>2024</v>
      </c>
      <c r="J300" s="1" t="str">
        <f>TEXT(Sales_Data[[#This Row],[Date]],"mmmm")</f>
        <v>September</v>
      </c>
      <c r="K300" s="3">
        <f>Sales_Data[[#This Row],[Profit]]/Sales_Data[[#This Row],[Sales]]</f>
        <v>0.27948955302829936</v>
      </c>
      <c r="L300" s="1" t="str">
        <f>IF(Sales_Data[[#This Row],[Profit Margin
Profit/Sales]]&gt;0,"Profit","Loss")</f>
        <v>Profit</v>
      </c>
    </row>
    <row r="301" spans="1:12" x14ac:dyDescent="0.35">
      <c r="A301" s="1">
        <v>1300</v>
      </c>
      <c r="B301" s="1" t="s">
        <v>225</v>
      </c>
      <c r="C301" s="1" t="s">
        <v>23</v>
      </c>
      <c r="D301" s="1" t="s">
        <v>15</v>
      </c>
      <c r="E301" s="1" t="s">
        <v>18</v>
      </c>
      <c r="F301" s="1">
        <v>17645</v>
      </c>
      <c r="G301" s="1">
        <v>2</v>
      </c>
      <c r="H301" s="1">
        <v>3698</v>
      </c>
      <c r="I301" s="1">
        <f>YEAR(Sales_Data[[#This Row],[Date]])</f>
        <v>2024</v>
      </c>
      <c r="J301" s="1" t="str">
        <f>TEXT(Sales_Data[[#This Row],[Date]],"mmmm")</f>
        <v>February</v>
      </c>
      <c r="K301" s="3">
        <f>Sales_Data[[#This Row],[Profit]]/Sales_Data[[#This Row],[Sales]]</f>
        <v>0.20957778407480873</v>
      </c>
      <c r="L301" s="1" t="str">
        <f>IF(Sales_Data[[#This Row],[Profit Margin
Profit/Sales]]&gt;0,"Profit","Loss")</f>
        <v>Profit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Amshar</cp:lastModifiedBy>
  <dcterms:created xsi:type="dcterms:W3CDTF">2025-12-27T10:16:44Z</dcterms:created>
  <dcterms:modified xsi:type="dcterms:W3CDTF">2025-12-27T11:12:53Z</dcterms:modified>
</cp:coreProperties>
</file>